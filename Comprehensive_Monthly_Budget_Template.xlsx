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Settings" sheetId="2" state="visible" r:id="rId2"/>
    <sheet xmlns:r="http://schemas.openxmlformats.org/officeDocument/2006/relationships" name="Budget" sheetId="3" state="visible" r:id="rId3"/>
    <sheet xmlns:r="http://schemas.openxmlformats.org/officeDocument/2006/relationships" name="Debts" sheetId="4" state="visible" r:id="rId4"/>
    <sheet xmlns:r="http://schemas.openxmlformats.org/officeDocument/2006/relationships" name="Goals" sheetId="5" state="visible" r:id="rId5"/>
    <sheet xmlns:r="http://schemas.openxmlformats.org/officeDocument/2006/relationships" name="Dashboard" sheetId="6" state="visible" r:id="rId6"/>
  </sheets>
  <definedNames/>
  <calcPr calcId="124519" fullCalcOnLoad="1"/>
</workbook>
</file>

<file path=xl/styles.xml><?xml version="1.0" encoding="utf-8"?>
<styleSheet xmlns="http://schemas.openxmlformats.org/spreadsheetml/2006/main">
  <numFmts count="4">
    <numFmt numFmtId="164" formatCode="$#,##0.00;[Red]-$#,##0.00;&quot;-&quot;"/>
    <numFmt numFmtId="165" formatCode="yyyy-mm-dd"/>
    <numFmt numFmtId="166" formatCode="mmm d, yyyy"/>
    <numFmt numFmtId="167" formatCode="0.0"/>
  </numFmts>
  <fonts count="8">
    <font>
      <name val="Calibri"/>
      <family val="2"/>
      <color theme="1"/>
      <sz val="11"/>
      <scheme val="minor"/>
    </font>
    <font>
      <b val="1"/>
      <color rgb="00FFFFFF"/>
      <sz val="18"/>
    </font>
    <font>
      <b val="1"/>
    </font>
    <font>
      <b val="1"/>
      <color rgb="00FFFFFF"/>
      <sz val="11"/>
    </font>
    <font>
      <b val="1"/>
      <color rgb="00FFFFFF"/>
      <sz val="12"/>
    </font>
    <font>
      <b val="1"/>
      <color rgb="00FFFFFF"/>
    </font>
    <font>
      <b val="1"/>
      <color rgb="001F4E79"/>
      <sz val="16"/>
    </font>
    <font>
      <b val="1"/>
      <color rgb="001F4E79"/>
      <sz val="12"/>
    </font>
  </fonts>
  <fills count="12">
    <fill>
      <patternFill/>
    </fill>
    <fill>
      <patternFill patternType="gray125"/>
    </fill>
    <fill>
      <patternFill patternType="solid">
        <fgColor rgb="001F4E79"/>
      </patternFill>
    </fill>
    <fill>
      <patternFill patternType="solid">
        <fgColor rgb="00FFF2CC"/>
      </patternFill>
    </fill>
    <fill>
      <patternFill patternType="solid">
        <fgColor rgb="002F5597"/>
      </patternFill>
    </fill>
    <fill>
      <patternFill patternType="solid">
        <fgColor rgb="000B5394"/>
      </patternFill>
    </fill>
    <fill>
      <patternFill patternType="solid">
        <fgColor rgb="00F2F2F2"/>
      </patternFill>
    </fill>
    <fill>
      <patternFill patternType="solid">
        <fgColor rgb="0038761D"/>
      </patternFill>
    </fill>
    <fill>
      <patternFill patternType="solid">
        <fgColor rgb="00B45F06"/>
      </patternFill>
    </fill>
    <fill>
      <patternFill patternType="solid">
        <fgColor rgb="00C65911"/>
      </patternFill>
    </fill>
    <fill>
      <patternFill patternType="solid">
        <fgColor rgb="007F6000"/>
      </patternFill>
    </fill>
    <fill>
      <patternFill patternType="solid">
        <fgColor rgb="00D9E1F2"/>
      </patternFill>
    </fill>
  </fills>
  <borders count="3">
    <border>
      <left/>
      <right/>
      <top/>
      <bottom/>
      <diagonal/>
    </border>
    <border>
      <left style="thin">
        <color rgb="009E9E9E"/>
      </left>
      <right style="thin">
        <color rgb="009E9E9E"/>
      </right>
      <top style="thin">
        <color rgb="009E9E9E"/>
      </top>
      <bottom style="thin">
        <color rgb="009E9E9E"/>
      </bottom>
    </border>
    <border/>
  </borders>
  <cellStyleXfs count="1">
    <xf numFmtId="0" fontId="0" fillId="0" borderId="0"/>
  </cellStyleXfs>
  <cellXfs count="47">
    <xf numFmtId="0" fontId="0" fillId="0" borderId="0" pivotButton="0" quotePrefix="0" xfId="0"/>
    <xf numFmtId="0" fontId="1" fillId="2" borderId="0" applyAlignment="1" pivotButton="0" quotePrefix="0" xfId="0">
      <alignment horizontal="center" vertical="center"/>
    </xf>
    <xf numFmtId="0" fontId="0" fillId="3" borderId="1" applyAlignment="1" pivotButton="0" quotePrefix="0" xfId="0">
      <alignment wrapText="1"/>
    </xf>
    <xf numFmtId="0" fontId="0" fillId="0" borderId="1" applyAlignment="1" pivotButton="0" quotePrefix="0" xfId="0">
      <alignment wrapText="1"/>
    </xf>
    <xf numFmtId="0" fontId="2" fillId="0" borderId="1" applyAlignment="1" pivotButton="0" quotePrefix="0" xfId="0">
      <alignment horizontal="left"/>
    </xf>
    <xf numFmtId="166" fontId="0" fillId="0" borderId="1" pivotButton="0" quotePrefix="0" xfId="0"/>
    <xf numFmtId="0" fontId="0" fillId="0" borderId="1" pivotButton="0" quotePrefix="0" xfId="0"/>
    <xf numFmtId="164" fontId="0" fillId="0" borderId="1" pivotButton="0" quotePrefix="0" xfId="0"/>
    <xf numFmtId="0" fontId="2" fillId="0" borderId="0" pivotButton="0" quotePrefix="0" xfId="0"/>
    <xf numFmtId="1" fontId="0" fillId="0" borderId="0" pivotButton="0" quotePrefix="0" xfId="0"/>
    <xf numFmtId="0" fontId="0" fillId="3" borderId="0" applyAlignment="1" pivotButton="0" quotePrefix="0" xfId="0">
      <alignment wrapText="1"/>
    </xf>
    <xf numFmtId="0" fontId="3" fillId="4" borderId="1" applyAlignment="1" pivotButton="0" quotePrefix="0" xfId="0">
      <alignment horizontal="center" vertical="center"/>
    </xf>
    <xf numFmtId="0" fontId="4" fillId="5" borderId="1" applyAlignment="1" pivotButton="0" quotePrefix="0" xfId="0">
      <alignment horizontal="left" vertical="center"/>
    </xf>
    <xf numFmtId="0" fontId="3" fillId="5" borderId="1" pivotButton="0" quotePrefix="0" xfId="0"/>
    <xf numFmtId="0" fontId="0" fillId="0" borderId="1" applyAlignment="1" pivotButton="0" quotePrefix="0" xfId="0">
      <alignment horizontal="left" vertical="center"/>
    </xf>
    <xf numFmtId="0" fontId="2" fillId="6" borderId="1" pivotButton="0" quotePrefix="0" xfId="0"/>
    <xf numFmtId="164" fontId="2" fillId="6" borderId="1" pivotButton="0" quotePrefix="0" xfId="0"/>
    <xf numFmtId="0" fontId="4" fillId="7" borderId="1" applyAlignment="1" pivotButton="0" quotePrefix="0" xfId="0">
      <alignment horizontal="left" vertical="center"/>
    </xf>
    <xf numFmtId="0" fontId="3" fillId="7" borderId="1" pivotButton="0" quotePrefix="0" xfId="0"/>
    <xf numFmtId="0" fontId="4" fillId="8" borderId="1" applyAlignment="1" pivotButton="0" quotePrefix="0" xfId="0">
      <alignment horizontal="left" vertical="center"/>
    </xf>
    <xf numFmtId="0" fontId="3" fillId="8" borderId="1" pivotButton="0" quotePrefix="0" xfId="0"/>
    <xf numFmtId="0" fontId="3" fillId="9" borderId="1" applyAlignment="1" pivotButton="0" quotePrefix="0" xfId="0">
      <alignment horizontal="left" vertical="center"/>
    </xf>
    <xf numFmtId="0" fontId="3" fillId="9" borderId="1" pivotButton="0" quotePrefix="0" xfId="0"/>
    <xf numFmtId="0" fontId="5" fillId="10" borderId="1" pivotButton="0" quotePrefix="0" xfId="0"/>
    <xf numFmtId="164" fontId="5" fillId="10" borderId="1" pivotButton="0" quotePrefix="0" xfId="0"/>
    <xf numFmtId="0" fontId="2" fillId="11" borderId="1" pivotButton="0" quotePrefix="0" xfId="0"/>
    <xf numFmtId="0" fontId="0" fillId="11" borderId="1" pivotButton="0" quotePrefix="0" xfId="0"/>
    <xf numFmtId="164" fontId="0" fillId="11" borderId="1" pivotButton="0" quotePrefix="0" xfId="0"/>
    <xf numFmtId="0" fontId="3" fillId="4" borderId="1" applyAlignment="1" pivotButton="0" quotePrefix="0" xfId="0">
      <alignment horizontal="center" vertical="center" wrapText="1"/>
    </xf>
    <xf numFmtId="0" fontId="0" fillId="0" borderId="1" applyAlignment="1" pivotButton="0" quotePrefix="0" xfId="0">
      <alignment horizontal="left"/>
    </xf>
    <xf numFmtId="164" fontId="0" fillId="0" borderId="1" applyAlignment="1" pivotButton="0" quotePrefix="0" xfId="0">
      <alignment horizontal="right"/>
    </xf>
    <xf numFmtId="10" fontId="0" fillId="0" borderId="1" applyAlignment="1" pivotButton="0" quotePrefix="0" xfId="0">
      <alignment horizontal="right"/>
    </xf>
    <xf numFmtId="0" fontId="0" fillId="0" borderId="1" applyAlignment="1" pivotButton="0" quotePrefix="0" xfId="0">
      <alignment horizontal="center"/>
    </xf>
    <xf numFmtId="167" fontId="0" fillId="0" borderId="1" applyAlignment="1" pivotButton="0" quotePrefix="0" xfId="0">
      <alignment horizontal="right"/>
    </xf>
    <xf numFmtId="166" fontId="0" fillId="0" borderId="1" applyAlignment="1" pivotButton="0" quotePrefix="0" xfId="0">
      <alignment horizontal="right"/>
    </xf>
    <xf numFmtId="0" fontId="4" fillId="5" borderId="1" applyAlignment="1" pivotButton="0" quotePrefix="0" xfId="0">
      <alignment horizontal="left"/>
    </xf>
    <xf numFmtId="164" fontId="0" fillId="6" borderId="1" pivotButton="0" quotePrefix="0" xfId="0"/>
    <xf numFmtId="166" fontId="0" fillId="6" borderId="1" pivotButton="0" quotePrefix="0" xfId="0"/>
    <xf numFmtId="0" fontId="4" fillId="5" borderId="1" pivotButton="0" quotePrefix="0" xfId="0"/>
    <xf numFmtId="0" fontId="2" fillId="0" borderId="1" pivotButton="0" quotePrefix="0" xfId="0"/>
    <xf numFmtId="164" fontId="6" fillId="6" borderId="1" applyAlignment="1" pivotButton="0" quotePrefix="0" xfId="0">
      <alignment horizontal="center" vertical="center"/>
    </xf>
    <xf numFmtId="10" fontId="0" fillId="0" borderId="1" pivotButton="0" quotePrefix="0" xfId="0"/>
    <xf numFmtId="167" fontId="0" fillId="0" borderId="1" pivotButton="0" quotePrefix="0" xfId="0"/>
    <xf numFmtId="0" fontId="7" fillId="0" borderId="0" pivotButton="0" quotePrefix="0" xfId="0"/>
    <xf numFmtId="0" fontId="3" fillId="4" borderId="1" applyAlignment="1" pivotButton="0" quotePrefix="0" xfId="0">
      <alignment horizontal="center"/>
    </xf>
    <xf numFmtId="1" fontId="0" fillId="3" borderId="1" applyAlignment="1" pivotButton="0" quotePrefix="0" xfId="0">
      <alignment wrapText="1"/>
    </xf>
    <xf numFmtId="0" fontId="0"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12-Month Trends</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'Budget'!$C$4:$N$4</f>
            </numRef>
          </cat>
          <val>
            <numRef>
              <f>'Budget'!$C$21</f>
            </numRef>
          </val>
        </ser>
        <ser>
          <idx val="1"/>
          <order val="1"/>
          <spPr>
            <a:ln xmlns:a="http://schemas.openxmlformats.org/drawingml/2006/main">
              <a:prstDash val="solid"/>
            </a:ln>
          </spPr>
          <marker>
            <symbol val="none"/>
            <spPr>
              <a:ln xmlns:a="http://schemas.openxmlformats.org/drawingml/2006/main">
                <a:prstDash val="solid"/>
              </a:ln>
            </spPr>
          </marker>
          <cat>
            <numRef>
              <f>'Budget'!$C$4:$N$4</f>
            </numRef>
          </cat>
          <val>
            <numRef>
              <f>'Budget'!$D$21</f>
            </numRef>
          </val>
        </ser>
        <ser>
          <idx val="2"/>
          <order val="2"/>
          <spPr>
            <a:ln xmlns:a="http://schemas.openxmlformats.org/drawingml/2006/main">
              <a:prstDash val="solid"/>
            </a:ln>
          </spPr>
          <marker>
            <symbol val="none"/>
            <spPr>
              <a:ln xmlns:a="http://schemas.openxmlformats.org/drawingml/2006/main">
                <a:prstDash val="solid"/>
              </a:ln>
            </spPr>
          </marker>
          <cat>
            <numRef>
              <f>'Budget'!$C$4:$N$4</f>
            </numRef>
          </cat>
          <val>
            <numRef>
              <f>'Budget'!$E$21</f>
            </numRef>
          </val>
        </ser>
        <ser>
          <idx val="3"/>
          <order val="3"/>
          <spPr>
            <a:ln xmlns:a="http://schemas.openxmlformats.org/drawingml/2006/main">
              <a:prstDash val="solid"/>
            </a:ln>
          </spPr>
          <marker>
            <symbol val="none"/>
            <spPr>
              <a:ln xmlns:a="http://schemas.openxmlformats.org/drawingml/2006/main">
                <a:prstDash val="solid"/>
              </a:ln>
            </spPr>
          </marker>
          <cat>
            <numRef>
              <f>'Budget'!$C$4:$N$4</f>
            </numRef>
          </cat>
          <val>
            <numRef>
              <f>'Budget'!$F$21</f>
            </numRef>
          </val>
        </ser>
        <ser>
          <idx val="4"/>
          <order val="4"/>
          <spPr>
            <a:ln xmlns:a="http://schemas.openxmlformats.org/drawingml/2006/main">
              <a:prstDash val="solid"/>
            </a:ln>
          </spPr>
          <marker>
            <symbol val="none"/>
            <spPr>
              <a:ln xmlns:a="http://schemas.openxmlformats.org/drawingml/2006/main">
                <a:prstDash val="solid"/>
              </a:ln>
            </spPr>
          </marker>
          <cat>
            <numRef>
              <f>'Budget'!$C$4:$N$4</f>
            </numRef>
          </cat>
          <val>
            <numRef>
              <f>'Budget'!$G$21</f>
            </numRef>
          </val>
        </ser>
        <ser>
          <idx val="5"/>
          <order val="5"/>
          <spPr>
            <a:ln xmlns:a="http://schemas.openxmlformats.org/drawingml/2006/main">
              <a:prstDash val="solid"/>
            </a:ln>
          </spPr>
          <marker>
            <symbol val="none"/>
            <spPr>
              <a:ln xmlns:a="http://schemas.openxmlformats.org/drawingml/2006/main">
                <a:prstDash val="solid"/>
              </a:ln>
            </spPr>
          </marker>
          <cat>
            <numRef>
              <f>'Budget'!$C$4:$N$4</f>
            </numRef>
          </cat>
          <val>
            <numRef>
              <f>'Budget'!$H$21</f>
            </numRef>
          </val>
        </ser>
        <ser>
          <idx val="6"/>
          <order val="6"/>
          <spPr>
            <a:ln xmlns:a="http://schemas.openxmlformats.org/drawingml/2006/main">
              <a:prstDash val="solid"/>
            </a:ln>
          </spPr>
          <marker>
            <symbol val="none"/>
            <spPr>
              <a:ln xmlns:a="http://schemas.openxmlformats.org/drawingml/2006/main">
                <a:prstDash val="solid"/>
              </a:ln>
            </spPr>
          </marker>
          <cat>
            <numRef>
              <f>'Budget'!$C$4:$N$4</f>
            </numRef>
          </cat>
          <val>
            <numRef>
              <f>'Budget'!$I$21</f>
            </numRef>
          </val>
        </ser>
        <ser>
          <idx val="7"/>
          <order val="7"/>
          <spPr>
            <a:ln xmlns:a="http://schemas.openxmlformats.org/drawingml/2006/main">
              <a:prstDash val="solid"/>
            </a:ln>
          </spPr>
          <marker>
            <symbol val="none"/>
            <spPr>
              <a:ln xmlns:a="http://schemas.openxmlformats.org/drawingml/2006/main">
                <a:prstDash val="solid"/>
              </a:ln>
            </spPr>
          </marker>
          <cat>
            <numRef>
              <f>'Budget'!$C$4:$N$4</f>
            </numRef>
          </cat>
          <val>
            <numRef>
              <f>'Budget'!$J$21</f>
            </numRef>
          </val>
        </ser>
        <ser>
          <idx val="8"/>
          <order val="8"/>
          <spPr>
            <a:ln xmlns:a="http://schemas.openxmlformats.org/drawingml/2006/main">
              <a:prstDash val="solid"/>
            </a:ln>
          </spPr>
          <marker>
            <symbol val="none"/>
            <spPr>
              <a:ln xmlns:a="http://schemas.openxmlformats.org/drawingml/2006/main">
                <a:prstDash val="solid"/>
              </a:ln>
            </spPr>
          </marker>
          <cat>
            <numRef>
              <f>'Budget'!$C$4:$N$4</f>
            </numRef>
          </cat>
          <val>
            <numRef>
              <f>'Budget'!$K$21</f>
            </numRef>
          </val>
        </ser>
        <ser>
          <idx val="9"/>
          <order val="9"/>
          <spPr>
            <a:ln xmlns:a="http://schemas.openxmlformats.org/drawingml/2006/main">
              <a:prstDash val="solid"/>
            </a:ln>
          </spPr>
          <marker>
            <symbol val="none"/>
            <spPr>
              <a:ln xmlns:a="http://schemas.openxmlformats.org/drawingml/2006/main">
                <a:prstDash val="solid"/>
              </a:ln>
            </spPr>
          </marker>
          <cat>
            <numRef>
              <f>'Budget'!$C$4:$N$4</f>
            </numRef>
          </cat>
          <val>
            <numRef>
              <f>'Budget'!$L$21</f>
            </numRef>
          </val>
        </ser>
        <ser>
          <idx val="10"/>
          <order val="10"/>
          <spPr>
            <a:ln xmlns:a="http://schemas.openxmlformats.org/drawingml/2006/main">
              <a:prstDash val="solid"/>
            </a:ln>
          </spPr>
          <marker>
            <symbol val="none"/>
            <spPr>
              <a:ln xmlns:a="http://schemas.openxmlformats.org/drawingml/2006/main">
                <a:prstDash val="solid"/>
              </a:ln>
            </spPr>
          </marker>
          <cat>
            <numRef>
              <f>'Budget'!$C$4:$N$4</f>
            </numRef>
          </cat>
          <val>
            <numRef>
              <f>'Budget'!$M$21</f>
            </numRef>
          </val>
        </ser>
        <ser>
          <idx val="11"/>
          <order val="11"/>
          <tx>
            <v>Income</v>
          </tx>
          <spPr>
            <a:ln xmlns:a="http://schemas.openxmlformats.org/drawingml/2006/main">
              <a:prstDash val="solid"/>
            </a:ln>
          </spPr>
          <marker>
            <symbol val="none"/>
            <spPr>
              <a:ln xmlns:a="http://schemas.openxmlformats.org/drawingml/2006/main">
                <a:prstDash val="solid"/>
              </a:ln>
            </spPr>
          </marker>
          <cat>
            <numRef>
              <f>'Budget'!$C$4:$N$4</f>
            </numRef>
          </cat>
          <val>
            <numRef>
              <f>'Budget'!$N$21</f>
            </numRef>
          </val>
        </ser>
        <ser>
          <idx val="12"/>
          <order val="12"/>
          <spPr>
            <a:ln xmlns:a="http://schemas.openxmlformats.org/drawingml/2006/main">
              <a:prstDash val="solid"/>
            </a:ln>
          </spPr>
          <marker>
            <symbol val="none"/>
            <spPr>
              <a:ln xmlns:a="http://schemas.openxmlformats.org/drawingml/2006/main">
                <a:prstDash val="solid"/>
              </a:ln>
            </spPr>
          </marker>
          <cat>
            <numRef>
              <f>'Budget'!$C$4:$N$4</f>
            </numRef>
          </cat>
          <val>
            <numRef>
              <f>'Budget'!$C$39</f>
            </numRef>
          </val>
        </ser>
        <ser>
          <idx val="13"/>
          <order val="13"/>
          <spPr>
            <a:ln xmlns:a="http://schemas.openxmlformats.org/drawingml/2006/main">
              <a:prstDash val="solid"/>
            </a:ln>
          </spPr>
          <marker>
            <symbol val="none"/>
            <spPr>
              <a:ln xmlns:a="http://schemas.openxmlformats.org/drawingml/2006/main">
                <a:prstDash val="solid"/>
              </a:ln>
            </spPr>
          </marker>
          <cat>
            <numRef>
              <f>'Budget'!$C$4:$N$4</f>
            </numRef>
          </cat>
          <val>
            <numRef>
              <f>'Budget'!$D$39</f>
            </numRef>
          </val>
        </ser>
        <ser>
          <idx val="14"/>
          <order val="14"/>
          <spPr>
            <a:ln xmlns:a="http://schemas.openxmlformats.org/drawingml/2006/main">
              <a:prstDash val="solid"/>
            </a:ln>
          </spPr>
          <marker>
            <symbol val="none"/>
            <spPr>
              <a:ln xmlns:a="http://schemas.openxmlformats.org/drawingml/2006/main">
                <a:prstDash val="solid"/>
              </a:ln>
            </spPr>
          </marker>
          <cat>
            <numRef>
              <f>'Budget'!$C$4:$N$4</f>
            </numRef>
          </cat>
          <val>
            <numRef>
              <f>'Budget'!$E$39</f>
            </numRef>
          </val>
        </ser>
        <ser>
          <idx val="15"/>
          <order val="15"/>
          <spPr>
            <a:ln xmlns:a="http://schemas.openxmlformats.org/drawingml/2006/main">
              <a:prstDash val="solid"/>
            </a:ln>
          </spPr>
          <marker>
            <symbol val="none"/>
            <spPr>
              <a:ln xmlns:a="http://schemas.openxmlformats.org/drawingml/2006/main">
                <a:prstDash val="solid"/>
              </a:ln>
            </spPr>
          </marker>
          <cat>
            <numRef>
              <f>'Budget'!$C$4:$N$4</f>
            </numRef>
          </cat>
          <val>
            <numRef>
              <f>'Budget'!$F$39</f>
            </numRef>
          </val>
        </ser>
        <ser>
          <idx val="16"/>
          <order val="16"/>
          <spPr>
            <a:ln xmlns:a="http://schemas.openxmlformats.org/drawingml/2006/main">
              <a:prstDash val="solid"/>
            </a:ln>
          </spPr>
          <marker>
            <symbol val="none"/>
            <spPr>
              <a:ln xmlns:a="http://schemas.openxmlformats.org/drawingml/2006/main">
                <a:prstDash val="solid"/>
              </a:ln>
            </spPr>
          </marker>
          <cat>
            <numRef>
              <f>'Budget'!$C$4:$N$4</f>
            </numRef>
          </cat>
          <val>
            <numRef>
              <f>'Budget'!$G$39</f>
            </numRef>
          </val>
        </ser>
        <ser>
          <idx val="17"/>
          <order val="17"/>
          <spPr>
            <a:ln xmlns:a="http://schemas.openxmlformats.org/drawingml/2006/main">
              <a:prstDash val="solid"/>
            </a:ln>
          </spPr>
          <marker>
            <symbol val="none"/>
            <spPr>
              <a:ln xmlns:a="http://schemas.openxmlformats.org/drawingml/2006/main">
                <a:prstDash val="solid"/>
              </a:ln>
            </spPr>
          </marker>
          <cat>
            <numRef>
              <f>'Budget'!$C$4:$N$4</f>
            </numRef>
          </cat>
          <val>
            <numRef>
              <f>'Budget'!$H$39</f>
            </numRef>
          </val>
        </ser>
        <ser>
          <idx val="18"/>
          <order val="18"/>
          <spPr>
            <a:ln xmlns:a="http://schemas.openxmlformats.org/drawingml/2006/main">
              <a:prstDash val="solid"/>
            </a:ln>
          </spPr>
          <marker>
            <symbol val="none"/>
            <spPr>
              <a:ln xmlns:a="http://schemas.openxmlformats.org/drawingml/2006/main">
                <a:prstDash val="solid"/>
              </a:ln>
            </spPr>
          </marker>
          <cat>
            <numRef>
              <f>'Budget'!$C$4:$N$4</f>
            </numRef>
          </cat>
          <val>
            <numRef>
              <f>'Budget'!$I$39</f>
            </numRef>
          </val>
        </ser>
        <ser>
          <idx val="19"/>
          <order val="19"/>
          <spPr>
            <a:ln xmlns:a="http://schemas.openxmlformats.org/drawingml/2006/main">
              <a:prstDash val="solid"/>
            </a:ln>
          </spPr>
          <marker>
            <symbol val="none"/>
            <spPr>
              <a:ln xmlns:a="http://schemas.openxmlformats.org/drawingml/2006/main">
                <a:prstDash val="solid"/>
              </a:ln>
            </spPr>
          </marker>
          <cat>
            <numRef>
              <f>'Budget'!$C$4:$N$4</f>
            </numRef>
          </cat>
          <val>
            <numRef>
              <f>'Budget'!$J$39</f>
            </numRef>
          </val>
        </ser>
        <ser>
          <idx val="20"/>
          <order val="20"/>
          <spPr>
            <a:ln xmlns:a="http://schemas.openxmlformats.org/drawingml/2006/main">
              <a:prstDash val="solid"/>
            </a:ln>
          </spPr>
          <marker>
            <symbol val="none"/>
            <spPr>
              <a:ln xmlns:a="http://schemas.openxmlformats.org/drawingml/2006/main">
                <a:prstDash val="solid"/>
              </a:ln>
            </spPr>
          </marker>
          <cat>
            <numRef>
              <f>'Budget'!$C$4:$N$4</f>
            </numRef>
          </cat>
          <val>
            <numRef>
              <f>'Budget'!$K$39</f>
            </numRef>
          </val>
        </ser>
        <ser>
          <idx val="21"/>
          <order val="21"/>
          <spPr>
            <a:ln xmlns:a="http://schemas.openxmlformats.org/drawingml/2006/main">
              <a:prstDash val="solid"/>
            </a:ln>
          </spPr>
          <marker>
            <symbol val="none"/>
            <spPr>
              <a:ln xmlns:a="http://schemas.openxmlformats.org/drawingml/2006/main">
                <a:prstDash val="solid"/>
              </a:ln>
            </spPr>
          </marker>
          <cat>
            <numRef>
              <f>'Budget'!$C$4:$N$4</f>
            </numRef>
          </cat>
          <val>
            <numRef>
              <f>'Budget'!$L$39</f>
            </numRef>
          </val>
        </ser>
        <ser>
          <idx val="22"/>
          <order val="22"/>
          <spPr>
            <a:ln xmlns:a="http://schemas.openxmlformats.org/drawingml/2006/main">
              <a:prstDash val="solid"/>
            </a:ln>
          </spPr>
          <marker>
            <symbol val="none"/>
            <spPr>
              <a:ln xmlns:a="http://schemas.openxmlformats.org/drawingml/2006/main">
                <a:prstDash val="solid"/>
              </a:ln>
            </spPr>
          </marker>
          <cat>
            <numRef>
              <f>'Budget'!$C$4:$N$4</f>
            </numRef>
          </cat>
          <val>
            <numRef>
              <f>'Budget'!$M$39</f>
            </numRef>
          </val>
        </ser>
        <ser>
          <idx val="23"/>
          <order val="23"/>
          <tx>
            <v>Savings</v>
          </tx>
          <spPr>
            <a:ln xmlns:a="http://schemas.openxmlformats.org/drawingml/2006/main">
              <a:prstDash val="solid"/>
            </a:ln>
          </spPr>
          <marker>
            <symbol val="none"/>
            <spPr>
              <a:ln xmlns:a="http://schemas.openxmlformats.org/drawingml/2006/main">
                <a:prstDash val="solid"/>
              </a:ln>
            </spPr>
          </marker>
          <cat>
            <numRef>
              <f>'Budget'!$C$4:$N$4</f>
            </numRef>
          </cat>
          <val>
            <numRef>
              <f>'Budget'!$N$39</f>
            </numRef>
          </val>
        </ser>
        <ser>
          <idx val="24"/>
          <order val="24"/>
          <spPr>
            <a:ln xmlns:a="http://schemas.openxmlformats.org/drawingml/2006/main">
              <a:prstDash val="solid"/>
            </a:ln>
          </spPr>
          <marker>
            <symbol val="none"/>
            <spPr>
              <a:ln xmlns:a="http://schemas.openxmlformats.org/drawingml/2006/main">
                <a:prstDash val="solid"/>
              </a:ln>
            </spPr>
          </marker>
          <cat>
            <numRef>
              <f>'Budget'!$C$4:$N$4</f>
            </numRef>
          </cat>
          <val>
            <numRef>
              <f>'Budget'!$C$154</f>
            </numRef>
          </val>
        </ser>
        <ser>
          <idx val="25"/>
          <order val="25"/>
          <spPr>
            <a:ln xmlns:a="http://schemas.openxmlformats.org/drawingml/2006/main">
              <a:prstDash val="solid"/>
            </a:ln>
          </spPr>
          <marker>
            <symbol val="none"/>
            <spPr>
              <a:ln xmlns:a="http://schemas.openxmlformats.org/drawingml/2006/main">
                <a:prstDash val="solid"/>
              </a:ln>
            </spPr>
          </marker>
          <cat>
            <numRef>
              <f>'Budget'!$C$4:$N$4</f>
            </numRef>
          </cat>
          <val>
            <numRef>
              <f>'Budget'!$D$154</f>
            </numRef>
          </val>
        </ser>
        <ser>
          <idx val="26"/>
          <order val="26"/>
          <spPr>
            <a:ln xmlns:a="http://schemas.openxmlformats.org/drawingml/2006/main">
              <a:prstDash val="solid"/>
            </a:ln>
          </spPr>
          <marker>
            <symbol val="none"/>
            <spPr>
              <a:ln xmlns:a="http://schemas.openxmlformats.org/drawingml/2006/main">
                <a:prstDash val="solid"/>
              </a:ln>
            </spPr>
          </marker>
          <cat>
            <numRef>
              <f>'Budget'!$C$4:$N$4</f>
            </numRef>
          </cat>
          <val>
            <numRef>
              <f>'Budget'!$E$154</f>
            </numRef>
          </val>
        </ser>
        <ser>
          <idx val="27"/>
          <order val="27"/>
          <spPr>
            <a:ln xmlns:a="http://schemas.openxmlformats.org/drawingml/2006/main">
              <a:prstDash val="solid"/>
            </a:ln>
          </spPr>
          <marker>
            <symbol val="none"/>
            <spPr>
              <a:ln xmlns:a="http://schemas.openxmlformats.org/drawingml/2006/main">
                <a:prstDash val="solid"/>
              </a:ln>
            </spPr>
          </marker>
          <cat>
            <numRef>
              <f>'Budget'!$C$4:$N$4</f>
            </numRef>
          </cat>
          <val>
            <numRef>
              <f>'Budget'!$F$154</f>
            </numRef>
          </val>
        </ser>
        <ser>
          <idx val="28"/>
          <order val="28"/>
          <spPr>
            <a:ln xmlns:a="http://schemas.openxmlformats.org/drawingml/2006/main">
              <a:prstDash val="solid"/>
            </a:ln>
          </spPr>
          <marker>
            <symbol val="none"/>
            <spPr>
              <a:ln xmlns:a="http://schemas.openxmlformats.org/drawingml/2006/main">
                <a:prstDash val="solid"/>
              </a:ln>
            </spPr>
          </marker>
          <cat>
            <numRef>
              <f>'Budget'!$C$4:$N$4</f>
            </numRef>
          </cat>
          <val>
            <numRef>
              <f>'Budget'!$G$154</f>
            </numRef>
          </val>
        </ser>
        <ser>
          <idx val="29"/>
          <order val="29"/>
          <spPr>
            <a:ln xmlns:a="http://schemas.openxmlformats.org/drawingml/2006/main">
              <a:prstDash val="solid"/>
            </a:ln>
          </spPr>
          <marker>
            <symbol val="none"/>
            <spPr>
              <a:ln xmlns:a="http://schemas.openxmlformats.org/drawingml/2006/main">
                <a:prstDash val="solid"/>
              </a:ln>
            </spPr>
          </marker>
          <cat>
            <numRef>
              <f>'Budget'!$C$4:$N$4</f>
            </numRef>
          </cat>
          <val>
            <numRef>
              <f>'Budget'!$H$154</f>
            </numRef>
          </val>
        </ser>
        <ser>
          <idx val="30"/>
          <order val="30"/>
          <spPr>
            <a:ln xmlns:a="http://schemas.openxmlformats.org/drawingml/2006/main">
              <a:prstDash val="solid"/>
            </a:ln>
          </spPr>
          <marker>
            <symbol val="none"/>
            <spPr>
              <a:ln xmlns:a="http://schemas.openxmlformats.org/drawingml/2006/main">
                <a:prstDash val="solid"/>
              </a:ln>
            </spPr>
          </marker>
          <cat>
            <numRef>
              <f>'Budget'!$C$4:$N$4</f>
            </numRef>
          </cat>
          <val>
            <numRef>
              <f>'Budget'!$I$154</f>
            </numRef>
          </val>
        </ser>
        <ser>
          <idx val="31"/>
          <order val="31"/>
          <spPr>
            <a:ln xmlns:a="http://schemas.openxmlformats.org/drawingml/2006/main">
              <a:prstDash val="solid"/>
            </a:ln>
          </spPr>
          <marker>
            <symbol val="none"/>
            <spPr>
              <a:ln xmlns:a="http://schemas.openxmlformats.org/drawingml/2006/main">
                <a:prstDash val="solid"/>
              </a:ln>
            </spPr>
          </marker>
          <cat>
            <numRef>
              <f>'Budget'!$C$4:$N$4</f>
            </numRef>
          </cat>
          <val>
            <numRef>
              <f>'Budget'!$J$154</f>
            </numRef>
          </val>
        </ser>
        <ser>
          <idx val="32"/>
          <order val="32"/>
          <spPr>
            <a:ln xmlns:a="http://schemas.openxmlformats.org/drawingml/2006/main">
              <a:prstDash val="solid"/>
            </a:ln>
          </spPr>
          <marker>
            <symbol val="none"/>
            <spPr>
              <a:ln xmlns:a="http://schemas.openxmlformats.org/drawingml/2006/main">
                <a:prstDash val="solid"/>
              </a:ln>
            </spPr>
          </marker>
          <cat>
            <numRef>
              <f>'Budget'!$C$4:$N$4</f>
            </numRef>
          </cat>
          <val>
            <numRef>
              <f>'Budget'!$K$154</f>
            </numRef>
          </val>
        </ser>
        <ser>
          <idx val="33"/>
          <order val="33"/>
          <spPr>
            <a:ln xmlns:a="http://schemas.openxmlformats.org/drawingml/2006/main">
              <a:prstDash val="solid"/>
            </a:ln>
          </spPr>
          <marker>
            <symbol val="none"/>
            <spPr>
              <a:ln xmlns:a="http://schemas.openxmlformats.org/drawingml/2006/main">
                <a:prstDash val="solid"/>
              </a:ln>
            </spPr>
          </marker>
          <cat>
            <numRef>
              <f>'Budget'!$C$4:$N$4</f>
            </numRef>
          </cat>
          <val>
            <numRef>
              <f>'Budget'!$L$154</f>
            </numRef>
          </val>
        </ser>
        <ser>
          <idx val="34"/>
          <order val="34"/>
          <spPr>
            <a:ln xmlns:a="http://schemas.openxmlformats.org/drawingml/2006/main">
              <a:prstDash val="solid"/>
            </a:ln>
          </spPr>
          <marker>
            <symbol val="none"/>
            <spPr>
              <a:ln xmlns:a="http://schemas.openxmlformats.org/drawingml/2006/main">
                <a:prstDash val="solid"/>
              </a:ln>
            </spPr>
          </marker>
          <cat>
            <numRef>
              <f>'Budget'!$C$4:$N$4</f>
            </numRef>
          </cat>
          <val>
            <numRef>
              <f>'Budget'!$M$154</f>
            </numRef>
          </val>
        </ser>
        <ser>
          <idx val="35"/>
          <order val="35"/>
          <tx>
            <v>Expenses</v>
          </tx>
          <spPr>
            <a:ln xmlns:a="http://schemas.openxmlformats.org/drawingml/2006/main">
              <a:prstDash val="solid"/>
            </a:ln>
          </spPr>
          <marker>
            <symbol val="none"/>
            <spPr>
              <a:ln xmlns:a="http://schemas.openxmlformats.org/drawingml/2006/main">
                <a:prstDash val="solid"/>
              </a:ln>
            </spPr>
          </marker>
          <cat>
            <numRef>
              <f>'Budget'!$C$4:$N$4</f>
            </numRef>
          </cat>
          <val>
            <numRef>
              <f>'Budget'!$N$154</f>
            </numRef>
          </val>
        </ser>
        <ser>
          <idx val="36"/>
          <order val="36"/>
          <spPr>
            <a:ln xmlns:a="http://schemas.openxmlformats.org/drawingml/2006/main">
              <a:prstDash val="solid"/>
            </a:ln>
          </spPr>
          <marker>
            <symbol val="none"/>
            <spPr>
              <a:ln xmlns:a="http://schemas.openxmlformats.org/drawingml/2006/main">
                <a:prstDash val="solid"/>
              </a:ln>
            </spPr>
          </marker>
          <cat>
            <numRef>
              <f>'Budget'!$C$4:$N$4</f>
            </numRef>
          </cat>
          <val>
            <numRef>
              <f>'Budget'!$C$156</f>
            </numRef>
          </val>
        </ser>
        <ser>
          <idx val="37"/>
          <order val="37"/>
          <spPr>
            <a:ln xmlns:a="http://schemas.openxmlformats.org/drawingml/2006/main">
              <a:prstDash val="solid"/>
            </a:ln>
          </spPr>
          <marker>
            <symbol val="none"/>
            <spPr>
              <a:ln xmlns:a="http://schemas.openxmlformats.org/drawingml/2006/main">
                <a:prstDash val="solid"/>
              </a:ln>
            </spPr>
          </marker>
          <cat>
            <numRef>
              <f>'Budget'!$C$4:$N$4</f>
            </numRef>
          </cat>
          <val>
            <numRef>
              <f>'Budget'!$D$156</f>
            </numRef>
          </val>
        </ser>
        <ser>
          <idx val="38"/>
          <order val="38"/>
          <spPr>
            <a:ln xmlns:a="http://schemas.openxmlformats.org/drawingml/2006/main">
              <a:prstDash val="solid"/>
            </a:ln>
          </spPr>
          <marker>
            <symbol val="none"/>
            <spPr>
              <a:ln xmlns:a="http://schemas.openxmlformats.org/drawingml/2006/main">
                <a:prstDash val="solid"/>
              </a:ln>
            </spPr>
          </marker>
          <cat>
            <numRef>
              <f>'Budget'!$C$4:$N$4</f>
            </numRef>
          </cat>
          <val>
            <numRef>
              <f>'Budget'!$E$156</f>
            </numRef>
          </val>
        </ser>
        <ser>
          <idx val="39"/>
          <order val="39"/>
          <spPr>
            <a:ln xmlns:a="http://schemas.openxmlformats.org/drawingml/2006/main">
              <a:prstDash val="solid"/>
            </a:ln>
          </spPr>
          <marker>
            <symbol val="none"/>
            <spPr>
              <a:ln xmlns:a="http://schemas.openxmlformats.org/drawingml/2006/main">
                <a:prstDash val="solid"/>
              </a:ln>
            </spPr>
          </marker>
          <cat>
            <numRef>
              <f>'Budget'!$C$4:$N$4</f>
            </numRef>
          </cat>
          <val>
            <numRef>
              <f>'Budget'!$F$156</f>
            </numRef>
          </val>
        </ser>
        <ser>
          <idx val="40"/>
          <order val="40"/>
          <spPr>
            <a:ln xmlns:a="http://schemas.openxmlformats.org/drawingml/2006/main">
              <a:prstDash val="solid"/>
            </a:ln>
          </spPr>
          <marker>
            <symbol val="none"/>
            <spPr>
              <a:ln xmlns:a="http://schemas.openxmlformats.org/drawingml/2006/main">
                <a:prstDash val="solid"/>
              </a:ln>
            </spPr>
          </marker>
          <cat>
            <numRef>
              <f>'Budget'!$C$4:$N$4</f>
            </numRef>
          </cat>
          <val>
            <numRef>
              <f>'Budget'!$G$156</f>
            </numRef>
          </val>
        </ser>
        <ser>
          <idx val="41"/>
          <order val="41"/>
          <spPr>
            <a:ln xmlns:a="http://schemas.openxmlformats.org/drawingml/2006/main">
              <a:prstDash val="solid"/>
            </a:ln>
          </spPr>
          <marker>
            <symbol val="none"/>
            <spPr>
              <a:ln xmlns:a="http://schemas.openxmlformats.org/drawingml/2006/main">
                <a:prstDash val="solid"/>
              </a:ln>
            </spPr>
          </marker>
          <cat>
            <numRef>
              <f>'Budget'!$C$4:$N$4</f>
            </numRef>
          </cat>
          <val>
            <numRef>
              <f>'Budget'!$H$156</f>
            </numRef>
          </val>
        </ser>
        <ser>
          <idx val="42"/>
          <order val="42"/>
          <spPr>
            <a:ln xmlns:a="http://schemas.openxmlformats.org/drawingml/2006/main">
              <a:prstDash val="solid"/>
            </a:ln>
          </spPr>
          <marker>
            <symbol val="none"/>
            <spPr>
              <a:ln xmlns:a="http://schemas.openxmlformats.org/drawingml/2006/main">
                <a:prstDash val="solid"/>
              </a:ln>
            </spPr>
          </marker>
          <cat>
            <numRef>
              <f>'Budget'!$C$4:$N$4</f>
            </numRef>
          </cat>
          <val>
            <numRef>
              <f>'Budget'!$I$156</f>
            </numRef>
          </val>
        </ser>
        <ser>
          <idx val="43"/>
          <order val="43"/>
          <spPr>
            <a:ln xmlns:a="http://schemas.openxmlformats.org/drawingml/2006/main">
              <a:prstDash val="solid"/>
            </a:ln>
          </spPr>
          <marker>
            <symbol val="none"/>
            <spPr>
              <a:ln xmlns:a="http://schemas.openxmlformats.org/drawingml/2006/main">
                <a:prstDash val="solid"/>
              </a:ln>
            </spPr>
          </marker>
          <cat>
            <numRef>
              <f>'Budget'!$C$4:$N$4</f>
            </numRef>
          </cat>
          <val>
            <numRef>
              <f>'Budget'!$J$156</f>
            </numRef>
          </val>
        </ser>
        <ser>
          <idx val="44"/>
          <order val="44"/>
          <spPr>
            <a:ln xmlns:a="http://schemas.openxmlformats.org/drawingml/2006/main">
              <a:prstDash val="solid"/>
            </a:ln>
          </spPr>
          <marker>
            <symbol val="none"/>
            <spPr>
              <a:ln xmlns:a="http://schemas.openxmlformats.org/drawingml/2006/main">
                <a:prstDash val="solid"/>
              </a:ln>
            </spPr>
          </marker>
          <cat>
            <numRef>
              <f>'Budget'!$C$4:$N$4</f>
            </numRef>
          </cat>
          <val>
            <numRef>
              <f>'Budget'!$K$156</f>
            </numRef>
          </val>
        </ser>
        <ser>
          <idx val="45"/>
          <order val="45"/>
          <spPr>
            <a:ln xmlns:a="http://schemas.openxmlformats.org/drawingml/2006/main">
              <a:prstDash val="solid"/>
            </a:ln>
          </spPr>
          <marker>
            <symbol val="none"/>
            <spPr>
              <a:ln xmlns:a="http://schemas.openxmlformats.org/drawingml/2006/main">
                <a:prstDash val="solid"/>
              </a:ln>
            </spPr>
          </marker>
          <cat>
            <numRef>
              <f>'Budget'!$C$4:$N$4</f>
            </numRef>
          </cat>
          <val>
            <numRef>
              <f>'Budget'!$L$156</f>
            </numRef>
          </val>
        </ser>
        <ser>
          <idx val="46"/>
          <order val="46"/>
          <spPr>
            <a:ln xmlns:a="http://schemas.openxmlformats.org/drawingml/2006/main">
              <a:prstDash val="solid"/>
            </a:ln>
          </spPr>
          <marker>
            <symbol val="none"/>
            <spPr>
              <a:ln xmlns:a="http://schemas.openxmlformats.org/drawingml/2006/main">
                <a:prstDash val="solid"/>
              </a:ln>
            </spPr>
          </marker>
          <cat>
            <numRef>
              <f>'Budget'!$C$4:$N$4</f>
            </numRef>
          </cat>
          <val>
            <numRef>
              <f>'Budget'!$M$156</f>
            </numRef>
          </val>
        </ser>
        <ser>
          <idx val="47"/>
          <order val="47"/>
          <tx>
            <v>Net</v>
          </tx>
          <spPr>
            <a:ln xmlns:a="http://schemas.openxmlformats.org/drawingml/2006/main">
              <a:prstDash val="solid"/>
            </a:ln>
          </spPr>
          <marker>
            <symbol val="none"/>
            <spPr>
              <a:ln xmlns:a="http://schemas.openxmlformats.org/drawingml/2006/main">
                <a:prstDash val="solid"/>
              </a:ln>
            </spPr>
          </marker>
          <cat>
            <numRef>
              <f>'Budget'!$C$4:$N$4</f>
            </numRef>
          </cat>
          <val>
            <numRef>
              <f>'Budget'!$N$156</f>
            </numRef>
          </val>
        </ser>
        <axId val="10"/>
        <axId val="100"/>
      </lineChart>
      <catAx>
        <axId val="10"/>
        <scaling>
          <orientation val="minMax"/>
        </scaling>
        <axPos val="l"/>
        <title>
          <tx>
            <rich>
              <a:bodyPr xmlns:a="http://schemas.openxmlformats.org/drawingml/2006/main"/>
              <a:p xmlns:a="http://schemas.openxmlformats.org/drawingml/2006/main">
                <a:pPr>
                  <a:defRPr/>
                </a:pPr>
                <a:r>
                  <a:t>Month</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Amount</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Expense Breakdown (Selected Month)</a:t>
            </a:r>
          </a:p>
        </rich>
      </tx>
    </title>
    <plotArea>
      <pieChart>
        <varyColors val="1"/>
        <ser>
          <idx val="0"/>
          <order val="0"/>
          <tx>
            <strRef>
              <f>'Dashboard'!B15</f>
            </strRef>
          </tx>
          <spPr>
            <a:ln xmlns:a="http://schemas.openxmlformats.org/drawingml/2006/main">
              <a:prstDash val="solid"/>
            </a:ln>
          </spPr>
          <cat>
            <numRef>
              <f>'Dashboard'!$A$16:$A$25</f>
            </numRef>
          </cat>
          <val>
            <numRef>
              <f>'Dashboard'!$B$16:$B$25</f>
            </numRef>
          </val>
        </ser>
        <dLbls>
          <showPercent val="1"/>
        </dLbls>
        <firstSliceAng val="0"/>
      </pieChart>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Selected Month Snapshot</a:t>
            </a:r>
          </a:p>
        </rich>
      </tx>
    </title>
    <plotArea>
      <barChart>
        <barDir val="col"/>
        <grouping val="clustered"/>
        <ser>
          <idx val="0"/>
          <order val="0"/>
          <tx>
            <strRef>
              <f>'Dashboard'!E24</f>
            </strRef>
          </tx>
          <spPr>
            <a:ln xmlns:a="http://schemas.openxmlformats.org/drawingml/2006/main">
              <a:prstDash val="solid"/>
            </a:ln>
          </spPr>
          <cat>
            <numRef>
              <f>'Dashboard'!$D$25:$D$28</f>
            </numRef>
          </cat>
          <val>
            <numRef>
              <f>'Dashboard'!$E$25:$E$28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Amount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3</col>
      <colOff>0</colOff>
      <row>13</row>
      <rowOff>0</rowOff>
    </from>
    <ext cx="792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22</row>
      <rowOff>0</rowOff>
    </from>
    <ext cx="3600000" cy="36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5</col>
      <colOff>0</colOff>
      <row>22</row>
      <rowOff>0</rowOff>
    </from>
    <ext cx="540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outlineLevelCol="0"/>
  <cols>
    <col width="110" customWidth="1" min="1" max="1"/>
  </cols>
  <sheetData>
    <row r="1" ht="32" customHeight="1">
      <c r="A1" s="1" t="inlineStr">
        <is>
          <t>How to use this budget template</t>
        </is>
      </c>
    </row>
    <row r="3">
      <c r="A3" s="2" t="inlineStr">
        <is>
          <t>1) Go to Settings: set Plan Start Date and Selected Month (used by the Dashboard and payoff dates).</t>
        </is>
      </c>
    </row>
    <row r="4">
      <c r="A4" s="3" t="inlineStr">
        <is>
          <t>2) Go to Debts: enter each debt’s balance, APR, and monthly payments. 'Months to Payoff' and 'Payoff Date' calculate automatically.</t>
        </is>
      </c>
    </row>
    <row r="5">
      <c r="A5" s="3" t="inlineStr">
        <is>
          <t>3) Go to Goals: enter savings goals (target, current saved, monthly contribution).</t>
        </is>
      </c>
    </row>
    <row r="6">
      <c r="A6" s="3" t="inlineStr">
        <is>
          <t>4) Go to Budget: enter monthly amounts for Income, Savings, and Expenses. (Debt Payments pulls automatically from the Debts tab.)</t>
        </is>
      </c>
    </row>
    <row r="7">
      <c r="A7" s="3" t="inlineStr">
        <is>
          <t>5) Go to Dashboard: review charts + key insights (savings rate, debt-to-income, debt-free date, next goal date, runway, and more).</t>
        </is>
      </c>
    </row>
    <row r="8">
      <c r="A8" s="3" t="inlineStr"/>
    </row>
    <row r="9">
      <c r="A9" s="3" t="inlineStr">
        <is>
          <t>Customization tips:</t>
        </is>
      </c>
    </row>
    <row r="10">
      <c r="A10" s="3" t="inlineStr">
        <is>
          <t>• Expenses include 5 'Other' lines in most categories plus 10 'Custom' lines—rename any line item text to whatever you want.</t>
        </is>
      </c>
    </row>
    <row r="11">
      <c r="A11" s="3" t="inlineStr">
        <is>
          <t>• If you don’t use a line item, leave it blank or 0 (zeros display as '-').</t>
        </is>
      </c>
    </row>
    <row r="12">
      <c r="A12" s="3" t="inlineStr"/>
    </row>
    <row r="13">
      <c r="A13" s="3" t="inlineStr">
        <is>
          <t>Notes:</t>
        </is>
      </c>
    </row>
    <row r="14">
      <c r="A14" s="3" t="inlineStr">
        <is>
          <t>• Debt payoff metrics assume constant monthly payments. If you change payments over time, update them as you go.</t>
        </is>
      </c>
    </row>
    <row r="15">
      <c r="A15" s="3" t="inlineStr">
        <is>
          <t>• All calculations are done with regular Excel formulas (no dynamic array functions).</t>
        </is>
      </c>
    </row>
    <row r="16">
      <c r="A16" s="6" t="inlineStr">
        <is>
          <t>• In Settings, set Emergency Fund Target (months) to see a target amount and gap on the Dashboard.</t>
        </is>
      </c>
    </row>
  </sheetData>
  <mergeCells count="1">
    <mergeCell ref="A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
  <sheetViews>
    <sheetView workbookViewId="0">
      <pane ySplit="2" topLeftCell="A3" activePane="bottomLeft" state="frozen"/>
      <selection pane="bottomLeft" activeCell="A1" sqref="A1"/>
    </sheetView>
  </sheetViews>
  <sheetFormatPr baseColWidth="8" defaultRowHeight="15" outlineLevelCol="0"/>
  <cols>
    <col width="28" customWidth="1" min="1" max="1"/>
    <col width="18" customWidth="1" min="2" max="2"/>
    <col width="2" customWidth="1" min="3" max="3"/>
    <col width="28" customWidth="1" min="4" max="4"/>
    <col width="18" customWidth="1" min="5" max="5"/>
    <col width="2" customWidth="1" min="6" max="6"/>
    <col width="28" customWidth="1" min="7" max="7"/>
    <col width="18" customWidth="1" min="8" max="8"/>
  </cols>
  <sheetData>
    <row r="1" ht="32" customHeight="1">
      <c r="A1" s="1" t="inlineStr">
        <is>
          <t>Settings (Dashboard controls)</t>
        </is>
      </c>
    </row>
    <row r="3">
      <c r="A3" s="4" t="inlineStr">
        <is>
          <t>Plan Start Date</t>
        </is>
      </c>
      <c r="B3" s="5" t="n">
        <v>45992</v>
      </c>
    </row>
    <row r="4">
      <c r="A4" s="4" t="inlineStr">
        <is>
          <t>Selected Month</t>
        </is>
      </c>
      <c r="B4" s="6" t="inlineStr">
        <is>
          <t>DEC</t>
        </is>
      </c>
    </row>
    <row r="5">
      <c r="A5" s="4" t="inlineStr">
        <is>
          <t>Emergency Fund (Current)</t>
        </is>
      </c>
      <c r="B5" s="7" t="n">
        <v>0</v>
      </c>
    </row>
    <row r="6">
      <c r="A6" s="4" t="inlineStr">
        <is>
          <t>Cash/Savings Available (Current)</t>
        </is>
      </c>
      <c r="B6" s="7" t="n">
        <v>0</v>
      </c>
    </row>
    <row r="7">
      <c r="A7" s="39" t="inlineStr">
        <is>
          <t>Emergency Fund Target (months)</t>
        </is>
      </c>
      <c r="B7" s="45" t="n">
        <v>6</v>
      </c>
      <c r="C7" s="46" t="n"/>
      <c r="D7" s="46" t="n"/>
      <c r="E7" s="46" t="n"/>
      <c r="F7" s="46" t="n"/>
      <c r="G7" s="46" t="n"/>
      <c r="H7" s="46" t="n"/>
    </row>
    <row r="8">
      <c r="A8" s="39" t="inlineStr">
        <is>
          <t>Notes</t>
        </is>
      </c>
      <c r="B8" s="2" t="inlineStr">
        <is>
          <t>Update Plan Start Date and Selected Month to refresh the Dashboard and payoff dates.</t>
        </is>
      </c>
      <c r="C8" s="6" t="n"/>
      <c r="D8" s="6" t="n"/>
      <c r="E8" s="6" t="n"/>
      <c r="F8" s="6" t="n"/>
      <c r="G8" s="6" t="n"/>
      <c r="H8" s="6" t="n"/>
    </row>
  </sheetData>
  <mergeCells count="2">
    <mergeCell ref="B8:H8"/>
    <mergeCell ref="A1:H1"/>
  </mergeCells>
  <dataValidations count="1">
    <dataValidation sqref="B4" showDropDown="0" showInputMessage="0" showErrorMessage="0" allowBlank="0" type="list">
      <formula1>"JAN,FEB,MAR,APR,MAY,JUN,JUL,AUG,SEP,OCT,NOV,DEC"</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56"/>
  <sheetViews>
    <sheetView workbookViewId="0">
      <pane xSplit="2" ySplit="4" topLeftCell="C5" activePane="bottomRight" state="frozen"/>
      <selection pane="topRight"/>
      <selection pane="bottomLeft"/>
      <selection pane="bottomRight" activeCell="A1" sqref="A1"/>
    </sheetView>
  </sheetViews>
  <sheetFormatPr baseColWidth="8" defaultRowHeight="15" outlineLevelCol="0"/>
  <cols>
    <col width="24" customWidth="1" min="1" max="1"/>
    <col width="34"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4" customWidth="1" min="15" max="15"/>
  </cols>
  <sheetData>
    <row r="1" ht="32" customHeight="1">
      <c r="A1" s="1" t="inlineStr">
        <is>
          <t>Personal Monthly Budget (Inputs)</t>
        </is>
      </c>
    </row>
    <row r="2">
      <c r="A2" s="8" t="inlineStr">
        <is>
          <t>Year:</t>
        </is>
      </c>
      <c r="B2" s="9" t="n">
        <v>2025</v>
      </c>
      <c r="D2" s="10" t="inlineStr">
        <is>
          <t>Tip: Enter amounts in the month columns. Annual totals update automatically.</t>
        </is>
      </c>
    </row>
    <row r="3">
      <c r="A3" s="10" t="inlineStr">
        <is>
          <t>Amounts are monthly. Leave unused cells blank or zero.</t>
        </is>
      </c>
    </row>
    <row r="4">
      <c r="A4" s="11" t="inlineStr">
        <is>
          <t>Category</t>
        </is>
      </c>
      <c r="B4" s="11" t="inlineStr">
        <is>
          <t>Line Item</t>
        </is>
      </c>
      <c r="C4" s="11" t="inlineStr">
        <is>
          <t>JAN</t>
        </is>
      </c>
      <c r="D4" s="11" t="inlineStr">
        <is>
          <t>FEB</t>
        </is>
      </c>
      <c r="E4" s="11" t="inlineStr">
        <is>
          <t>MAR</t>
        </is>
      </c>
      <c r="F4" s="11" t="inlineStr">
        <is>
          <t>APR</t>
        </is>
      </c>
      <c r="G4" s="11" t="inlineStr">
        <is>
          <t>MAY</t>
        </is>
      </c>
      <c r="H4" s="11" t="inlineStr">
        <is>
          <t>JUN</t>
        </is>
      </c>
      <c r="I4" s="11" t="inlineStr">
        <is>
          <t>JUL</t>
        </is>
      </c>
      <c r="J4" s="11" t="inlineStr">
        <is>
          <t>AUG</t>
        </is>
      </c>
      <c r="K4" s="11" t="inlineStr">
        <is>
          <t>SEP</t>
        </is>
      </c>
      <c r="L4" s="11" t="inlineStr">
        <is>
          <t>OCT</t>
        </is>
      </c>
      <c r="M4" s="11" t="inlineStr">
        <is>
          <t>NOV</t>
        </is>
      </c>
      <c r="N4" s="11" t="inlineStr">
        <is>
          <t>DEC</t>
        </is>
      </c>
      <c r="O4" s="11" t="inlineStr">
        <is>
          <t>ANNUAL</t>
        </is>
      </c>
    </row>
    <row r="5" ht="20" customHeight="1">
      <c r="A5" s="12" t="inlineStr">
        <is>
          <t>INCOME</t>
        </is>
      </c>
      <c r="B5" s="13" t="n"/>
      <c r="C5" s="13" t="n"/>
      <c r="D5" s="13" t="n"/>
      <c r="E5" s="13" t="n"/>
      <c r="F5" s="13" t="n"/>
      <c r="G5" s="13" t="n"/>
      <c r="H5" s="13" t="n"/>
      <c r="I5" s="13" t="n"/>
      <c r="J5" s="13" t="n"/>
      <c r="K5" s="13" t="n"/>
      <c r="L5" s="13" t="n"/>
      <c r="M5" s="13" t="n"/>
      <c r="N5" s="13" t="n"/>
      <c r="O5" s="13" t="n"/>
    </row>
    <row r="6">
      <c r="A6" s="14" t="inlineStr">
        <is>
          <t>Income</t>
        </is>
      </c>
      <c r="B6" s="14" t="inlineStr">
        <is>
          <t>Paycheck 1</t>
        </is>
      </c>
      <c r="C6" s="7" t="n">
        <v>0</v>
      </c>
      <c r="D6" s="7" t="n">
        <v>0</v>
      </c>
      <c r="E6" s="7" t="n">
        <v>0</v>
      </c>
      <c r="F6" s="7" t="n">
        <v>0</v>
      </c>
      <c r="G6" s="7" t="n">
        <v>0</v>
      </c>
      <c r="H6" s="7" t="n">
        <v>0</v>
      </c>
      <c r="I6" s="7" t="n">
        <v>0</v>
      </c>
      <c r="J6" s="7" t="n">
        <v>0</v>
      </c>
      <c r="K6" s="7" t="n">
        <v>0</v>
      </c>
      <c r="L6" s="7" t="n">
        <v>0</v>
      </c>
      <c r="M6" s="7" t="n">
        <v>0</v>
      </c>
      <c r="N6" s="7" t="n">
        <v>0</v>
      </c>
      <c r="O6" s="7">
        <f>SUM(C6:N6)</f>
        <v/>
      </c>
    </row>
    <row r="7">
      <c r="A7" s="14" t="inlineStr">
        <is>
          <t>Income</t>
        </is>
      </c>
      <c r="B7" s="14" t="inlineStr">
        <is>
          <t>Paycheck 2</t>
        </is>
      </c>
      <c r="C7" s="7" t="n">
        <v>0</v>
      </c>
      <c r="D7" s="7" t="n">
        <v>0</v>
      </c>
      <c r="E7" s="7" t="n">
        <v>0</v>
      </c>
      <c r="F7" s="7" t="n">
        <v>0</v>
      </c>
      <c r="G7" s="7" t="n">
        <v>0</v>
      </c>
      <c r="H7" s="7" t="n">
        <v>0</v>
      </c>
      <c r="I7" s="7" t="n">
        <v>0</v>
      </c>
      <c r="J7" s="7" t="n">
        <v>0</v>
      </c>
      <c r="K7" s="7" t="n">
        <v>0</v>
      </c>
      <c r="L7" s="7" t="n">
        <v>0</v>
      </c>
      <c r="M7" s="7" t="n">
        <v>0</v>
      </c>
      <c r="N7" s="7" t="n">
        <v>0</v>
      </c>
      <c r="O7" s="7">
        <f>SUM(C7:N7)</f>
        <v/>
      </c>
    </row>
    <row r="8">
      <c r="A8" s="14" t="inlineStr">
        <is>
          <t>Income</t>
        </is>
      </c>
      <c r="B8" s="14" t="inlineStr">
        <is>
          <t>Side Income</t>
        </is>
      </c>
      <c r="C8" s="7" t="n">
        <v>0</v>
      </c>
      <c r="D8" s="7" t="n">
        <v>0</v>
      </c>
      <c r="E8" s="7" t="n">
        <v>0</v>
      </c>
      <c r="F8" s="7" t="n">
        <v>0</v>
      </c>
      <c r="G8" s="7" t="n">
        <v>0</v>
      </c>
      <c r="H8" s="7" t="n">
        <v>0</v>
      </c>
      <c r="I8" s="7" t="n">
        <v>0</v>
      </c>
      <c r="J8" s="7" t="n">
        <v>0</v>
      </c>
      <c r="K8" s="7" t="n">
        <v>0</v>
      </c>
      <c r="L8" s="7" t="n">
        <v>0</v>
      </c>
      <c r="M8" s="7" t="n">
        <v>0</v>
      </c>
      <c r="N8" s="7" t="n">
        <v>0</v>
      </c>
      <c r="O8" s="7">
        <f>SUM(C8:N8)</f>
        <v/>
      </c>
    </row>
    <row r="9">
      <c r="A9" s="14" t="inlineStr">
        <is>
          <t>Income</t>
        </is>
      </c>
      <c r="B9" s="14" t="inlineStr">
        <is>
          <t>Interest / Dividends</t>
        </is>
      </c>
      <c r="C9" s="7" t="n">
        <v>0</v>
      </c>
      <c r="D9" s="7" t="n">
        <v>0</v>
      </c>
      <c r="E9" s="7" t="n">
        <v>0</v>
      </c>
      <c r="F9" s="7" t="n">
        <v>0</v>
      </c>
      <c r="G9" s="7" t="n">
        <v>0</v>
      </c>
      <c r="H9" s="7" t="n">
        <v>0</v>
      </c>
      <c r="I9" s="7" t="n">
        <v>0</v>
      </c>
      <c r="J9" s="7" t="n">
        <v>0</v>
      </c>
      <c r="K9" s="7" t="n">
        <v>0</v>
      </c>
      <c r="L9" s="7" t="n">
        <v>0</v>
      </c>
      <c r="M9" s="7" t="n">
        <v>0</v>
      </c>
      <c r="N9" s="7" t="n">
        <v>0</v>
      </c>
      <c r="O9" s="7">
        <f>SUM(C9:N9)</f>
        <v/>
      </c>
    </row>
    <row r="10">
      <c r="A10" s="14" t="inlineStr">
        <is>
          <t>Income</t>
        </is>
      </c>
      <c r="B10" s="14" t="inlineStr">
        <is>
          <t>Other Income</t>
        </is>
      </c>
      <c r="C10" s="7" t="n">
        <v>0</v>
      </c>
      <c r="D10" s="7" t="n">
        <v>0</v>
      </c>
      <c r="E10" s="7" t="n">
        <v>0</v>
      </c>
      <c r="F10" s="7" t="n">
        <v>0</v>
      </c>
      <c r="G10" s="7" t="n">
        <v>0</v>
      </c>
      <c r="H10" s="7" t="n">
        <v>0</v>
      </c>
      <c r="I10" s="7" t="n">
        <v>0</v>
      </c>
      <c r="J10" s="7" t="n">
        <v>0</v>
      </c>
      <c r="K10" s="7" t="n">
        <v>0</v>
      </c>
      <c r="L10" s="7" t="n">
        <v>0</v>
      </c>
      <c r="M10" s="7" t="n">
        <v>0</v>
      </c>
      <c r="N10" s="7" t="n">
        <v>0</v>
      </c>
      <c r="O10" s="7">
        <f>SUM(C10:N10)</f>
        <v/>
      </c>
    </row>
    <row r="11">
      <c r="A11" s="14" t="inlineStr">
        <is>
          <t>Income</t>
        </is>
      </c>
      <c r="B11" s="14" t="inlineStr">
        <is>
          <t>Other #1</t>
        </is>
      </c>
      <c r="C11" s="7" t="n">
        <v>0</v>
      </c>
      <c r="D11" s="7" t="n">
        <v>0</v>
      </c>
      <c r="E11" s="7" t="n">
        <v>0</v>
      </c>
      <c r="F11" s="7" t="n">
        <v>0</v>
      </c>
      <c r="G11" s="7" t="n">
        <v>0</v>
      </c>
      <c r="H11" s="7" t="n">
        <v>0</v>
      </c>
      <c r="I11" s="7" t="n">
        <v>0</v>
      </c>
      <c r="J11" s="7" t="n">
        <v>0</v>
      </c>
      <c r="K11" s="7" t="n">
        <v>0</v>
      </c>
      <c r="L11" s="7" t="n">
        <v>0</v>
      </c>
      <c r="M11" s="7" t="n">
        <v>0</v>
      </c>
      <c r="N11" s="7" t="n">
        <v>0</v>
      </c>
      <c r="O11" s="7">
        <f>SUM(C11:N11)</f>
        <v/>
      </c>
    </row>
    <row r="12">
      <c r="A12" s="14" t="inlineStr">
        <is>
          <t>Income</t>
        </is>
      </c>
      <c r="B12" s="14" t="inlineStr">
        <is>
          <t>Other #2</t>
        </is>
      </c>
      <c r="C12" s="7" t="n">
        <v>0</v>
      </c>
      <c r="D12" s="7" t="n">
        <v>0</v>
      </c>
      <c r="E12" s="7" t="n">
        <v>0</v>
      </c>
      <c r="F12" s="7" t="n">
        <v>0</v>
      </c>
      <c r="G12" s="7" t="n">
        <v>0</v>
      </c>
      <c r="H12" s="7" t="n">
        <v>0</v>
      </c>
      <c r="I12" s="7" t="n">
        <v>0</v>
      </c>
      <c r="J12" s="7" t="n">
        <v>0</v>
      </c>
      <c r="K12" s="7" t="n">
        <v>0</v>
      </c>
      <c r="L12" s="7" t="n">
        <v>0</v>
      </c>
      <c r="M12" s="7" t="n">
        <v>0</v>
      </c>
      <c r="N12" s="7" t="n">
        <v>0</v>
      </c>
      <c r="O12" s="7">
        <f>SUM(C12:N12)</f>
        <v/>
      </c>
    </row>
    <row r="13">
      <c r="A13" s="14" t="inlineStr">
        <is>
          <t>Income</t>
        </is>
      </c>
      <c r="B13" s="14" t="inlineStr">
        <is>
          <t>Other #3</t>
        </is>
      </c>
      <c r="C13" s="7" t="n">
        <v>0</v>
      </c>
      <c r="D13" s="7" t="n">
        <v>0</v>
      </c>
      <c r="E13" s="7" t="n">
        <v>0</v>
      </c>
      <c r="F13" s="7" t="n">
        <v>0</v>
      </c>
      <c r="G13" s="7" t="n">
        <v>0</v>
      </c>
      <c r="H13" s="7" t="n">
        <v>0</v>
      </c>
      <c r="I13" s="7" t="n">
        <v>0</v>
      </c>
      <c r="J13" s="7" t="n">
        <v>0</v>
      </c>
      <c r="K13" s="7" t="n">
        <v>0</v>
      </c>
      <c r="L13" s="7" t="n">
        <v>0</v>
      </c>
      <c r="M13" s="7" t="n">
        <v>0</v>
      </c>
      <c r="N13" s="7" t="n">
        <v>0</v>
      </c>
      <c r="O13" s="7">
        <f>SUM(C13:N13)</f>
        <v/>
      </c>
    </row>
    <row r="14">
      <c r="A14" s="14" t="inlineStr">
        <is>
          <t>Income</t>
        </is>
      </c>
      <c r="B14" s="14" t="inlineStr">
        <is>
          <t>Other #4</t>
        </is>
      </c>
      <c r="C14" s="7" t="n">
        <v>0</v>
      </c>
      <c r="D14" s="7" t="n">
        <v>0</v>
      </c>
      <c r="E14" s="7" t="n">
        <v>0</v>
      </c>
      <c r="F14" s="7" t="n">
        <v>0</v>
      </c>
      <c r="G14" s="7" t="n">
        <v>0</v>
      </c>
      <c r="H14" s="7" t="n">
        <v>0</v>
      </c>
      <c r="I14" s="7" t="n">
        <v>0</v>
      </c>
      <c r="J14" s="7" t="n">
        <v>0</v>
      </c>
      <c r="K14" s="7" t="n">
        <v>0</v>
      </c>
      <c r="L14" s="7" t="n">
        <v>0</v>
      </c>
      <c r="M14" s="7" t="n">
        <v>0</v>
      </c>
      <c r="N14" s="7" t="n">
        <v>0</v>
      </c>
      <c r="O14" s="7">
        <f>SUM(C14:N14)</f>
        <v/>
      </c>
    </row>
    <row r="15">
      <c r="A15" s="14" t="inlineStr">
        <is>
          <t>Income</t>
        </is>
      </c>
      <c r="B15" s="14" t="inlineStr">
        <is>
          <t>Other #5</t>
        </is>
      </c>
      <c r="C15" s="7" t="n">
        <v>0</v>
      </c>
      <c r="D15" s="7" t="n">
        <v>0</v>
      </c>
      <c r="E15" s="7" t="n">
        <v>0</v>
      </c>
      <c r="F15" s="7" t="n">
        <v>0</v>
      </c>
      <c r="G15" s="7" t="n">
        <v>0</v>
      </c>
      <c r="H15" s="7" t="n">
        <v>0</v>
      </c>
      <c r="I15" s="7" t="n">
        <v>0</v>
      </c>
      <c r="J15" s="7" t="n">
        <v>0</v>
      </c>
      <c r="K15" s="7" t="n">
        <v>0</v>
      </c>
      <c r="L15" s="7" t="n">
        <v>0</v>
      </c>
      <c r="M15" s="7" t="n">
        <v>0</v>
      </c>
      <c r="N15" s="7" t="n">
        <v>0</v>
      </c>
      <c r="O15" s="7">
        <f>SUM(C15:N15)</f>
        <v/>
      </c>
    </row>
    <row r="16">
      <c r="A16" s="14" t="inlineStr">
        <is>
          <t>Income</t>
        </is>
      </c>
      <c r="B16" s="14" t="inlineStr">
        <is>
          <t>Other #6</t>
        </is>
      </c>
      <c r="C16" s="7" t="n">
        <v>0</v>
      </c>
      <c r="D16" s="7" t="n">
        <v>0</v>
      </c>
      <c r="E16" s="7" t="n">
        <v>0</v>
      </c>
      <c r="F16" s="7" t="n">
        <v>0</v>
      </c>
      <c r="G16" s="7" t="n">
        <v>0</v>
      </c>
      <c r="H16" s="7" t="n">
        <v>0</v>
      </c>
      <c r="I16" s="7" t="n">
        <v>0</v>
      </c>
      <c r="J16" s="7" t="n">
        <v>0</v>
      </c>
      <c r="K16" s="7" t="n">
        <v>0</v>
      </c>
      <c r="L16" s="7" t="n">
        <v>0</v>
      </c>
      <c r="M16" s="7" t="n">
        <v>0</v>
      </c>
      <c r="N16" s="7" t="n">
        <v>0</v>
      </c>
      <c r="O16" s="7">
        <f>SUM(C16:N16)</f>
        <v/>
      </c>
    </row>
    <row r="17">
      <c r="A17" s="14" t="inlineStr">
        <is>
          <t>Income</t>
        </is>
      </c>
      <c r="B17" s="14" t="inlineStr">
        <is>
          <t>Other #7</t>
        </is>
      </c>
      <c r="C17" s="7" t="n">
        <v>0</v>
      </c>
      <c r="D17" s="7" t="n">
        <v>0</v>
      </c>
      <c r="E17" s="7" t="n">
        <v>0</v>
      </c>
      <c r="F17" s="7" t="n">
        <v>0</v>
      </c>
      <c r="G17" s="7" t="n">
        <v>0</v>
      </c>
      <c r="H17" s="7" t="n">
        <v>0</v>
      </c>
      <c r="I17" s="7" t="n">
        <v>0</v>
      </c>
      <c r="J17" s="7" t="n">
        <v>0</v>
      </c>
      <c r="K17" s="7" t="n">
        <v>0</v>
      </c>
      <c r="L17" s="7" t="n">
        <v>0</v>
      </c>
      <c r="M17" s="7" t="n">
        <v>0</v>
      </c>
      <c r="N17" s="7" t="n">
        <v>0</v>
      </c>
      <c r="O17" s="7">
        <f>SUM(C17:N17)</f>
        <v/>
      </c>
    </row>
    <row r="18">
      <c r="A18" s="14" t="inlineStr">
        <is>
          <t>Income</t>
        </is>
      </c>
      <c r="B18" s="14" t="inlineStr">
        <is>
          <t>Other #8</t>
        </is>
      </c>
      <c r="C18" s="7" t="n">
        <v>0</v>
      </c>
      <c r="D18" s="7" t="n">
        <v>0</v>
      </c>
      <c r="E18" s="7" t="n">
        <v>0</v>
      </c>
      <c r="F18" s="7" t="n">
        <v>0</v>
      </c>
      <c r="G18" s="7" t="n">
        <v>0</v>
      </c>
      <c r="H18" s="7" t="n">
        <v>0</v>
      </c>
      <c r="I18" s="7" t="n">
        <v>0</v>
      </c>
      <c r="J18" s="7" t="n">
        <v>0</v>
      </c>
      <c r="K18" s="7" t="n">
        <v>0</v>
      </c>
      <c r="L18" s="7" t="n">
        <v>0</v>
      </c>
      <c r="M18" s="7" t="n">
        <v>0</v>
      </c>
      <c r="N18" s="7" t="n">
        <v>0</v>
      </c>
      <c r="O18" s="7">
        <f>SUM(C18:N18)</f>
        <v/>
      </c>
    </row>
    <row r="19">
      <c r="A19" s="14" t="inlineStr">
        <is>
          <t>Income</t>
        </is>
      </c>
      <c r="B19" s="14" t="inlineStr">
        <is>
          <t>Other #9</t>
        </is>
      </c>
      <c r="C19" s="7" t="n">
        <v>0</v>
      </c>
      <c r="D19" s="7" t="n">
        <v>0</v>
      </c>
      <c r="E19" s="7" t="n">
        <v>0</v>
      </c>
      <c r="F19" s="7" t="n">
        <v>0</v>
      </c>
      <c r="G19" s="7" t="n">
        <v>0</v>
      </c>
      <c r="H19" s="7" t="n">
        <v>0</v>
      </c>
      <c r="I19" s="7" t="n">
        <v>0</v>
      </c>
      <c r="J19" s="7" t="n">
        <v>0</v>
      </c>
      <c r="K19" s="7" t="n">
        <v>0</v>
      </c>
      <c r="L19" s="7" t="n">
        <v>0</v>
      </c>
      <c r="M19" s="7" t="n">
        <v>0</v>
      </c>
      <c r="N19" s="7" t="n">
        <v>0</v>
      </c>
      <c r="O19" s="7">
        <f>SUM(C19:N19)</f>
        <v/>
      </c>
    </row>
    <row r="20">
      <c r="A20" s="14" t="inlineStr">
        <is>
          <t>Income</t>
        </is>
      </c>
      <c r="B20" s="14" t="inlineStr">
        <is>
          <t>Other #10</t>
        </is>
      </c>
      <c r="C20" s="7" t="n">
        <v>0</v>
      </c>
      <c r="D20" s="7" t="n">
        <v>0</v>
      </c>
      <c r="E20" s="7" t="n">
        <v>0</v>
      </c>
      <c r="F20" s="7" t="n">
        <v>0</v>
      </c>
      <c r="G20" s="7" t="n">
        <v>0</v>
      </c>
      <c r="H20" s="7" t="n">
        <v>0</v>
      </c>
      <c r="I20" s="7" t="n">
        <v>0</v>
      </c>
      <c r="J20" s="7" t="n">
        <v>0</v>
      </c>
      <c r="K20" s="7" t="n">
        <v>0</v>
      </c>
      <c r="L20" s="7" t="n">
        <v>0</v>
      </c>
      <c r="M20" s="7" t="n">
        <v>0</v>
      </c>
      <c r="N20" s="7" t="n">
        <v>0</v>
      </c>
      <c r="O20" s="7">
        <f>SUM(C20:N20)</f>
        <v/>
      </c>
    </row>
    <row r="21">
      <c r="A21" s="15" t="inlineStr">
        <is>
          <t>Income - Monthly Total</t>
        </is>
      </c>
      <c r="B21" s="15" t="inlineStr"/>
      <c r="C21" s="16">
        <f>SUM(C6:C20)</f>
        <v/>
      </c>
      <c r="D21" s="16">
        <f>SUM(D6:D20)</f>
        <v/>
      </c>
      <c r="E21" s="16">
        <f>SUM(E6:E20)</f>
        <v/>
      </c>
      <c r="F21" s="16">
        <f>SUM(F6:F20)</f>
        <v/>
      </c>
      <c r="G21" s="16">
        <f>SUM(G6:G20)</f>
        <v/>
      </c>
      <c r="H21" s="16">
        <f>SUM(H6:H20)</f>
        <v/>
      </c>
      <c r="I21" s="16">
        <f>SUM(I6:I20)</f>
        <v/>
      </c>
      <c r="J21" s="16">
        <f>SUM(J6:J20)</f>
        <v/>
      </c>
      <c r="K21" s="16">
        <f>SUM(K6:K20)</f>
        <v/>
      </c>
      <c r="L21" s="16">
        <f>SUM(L6:L20)</f>
        <v/>
      </c>
      <c r="M21" s="16">
        <f>SUM(M6:M20)</f>
        <v/>
      </c>
      <c r="N21" s="16">
        <f>SUM(N6:N20)</f>
        <v/>
      </c>
      <c r="O21" s="16">
        <f>SUM(O6:O20)</f>
        <v/>
      </c>
    </row>
    <row r="22"/>
    <row r="23" ht="20" customHeight="1">
      <c r="A23" s="17" t="inlineStr">
        <is>
          <t>SAVINGS (Cash, Investments, Sinking Funds)</t>
        </is>
      </c>
      <c r="B23" s="18" t="n"/>
      <c r="C23" s="18" t="n"/>
      <c r="D23" s="18" t="n"/>
      <c r="E23" s="18" t="n"/>
      <c r="F23" s="18" t="n"/>
      <c r="G23" s="18" t="n"/>
      <c r="H23" s="18" t="n"/>
      <c r="I23" s="18" t="n"/>
      <c r="J23" s="18" t="n"/>
      <c r="K23" s="18" t="n"/>
      <c r="L23" s="18" t="n"/>
      <c r="M23" s="18" t="n"/>
      <c r="N23" s="18" t="n"/>
      <c r="O23" s="18" t="n"/>
    </row>
    <row r="24">
      <c r="A24" s="14" t="inlineStr">
        <is>
          <t>Savings</t>
        </is>
      </c>
      <c r="B24" s="14" t="inlineStr">
        <is>
          <t>Savings and Investments</t>
        </is>
      </c>
      <c r="C24" s="7" t="n">
        <v>0</v>
      </c>
      <c r="D24" s="7" t="n">
        <v>0</v>
      </c>
      <c r="E24" s="7" t="n">
        <v>0</v>
      </c>
      <c r="F24" s="7" t="n">
        <v>0</v>
      </c>
      <c r="G24" s="7" t="n">
        <v>0</v>
      </c>
      <c r="H24" s="7" t="n">
        <v>0</v>
      </c>
      <c r="I24" s="7" t="n">
        <v>0</v>
      </c>
      <c r="J24" s="7" t="n">
        <v>0</v>
      </c>
      <c r="K24" s="7" t="n">
        <v>0</v>
      </c>
      <c r="L24" s="7" t="n">
        <v>0</v>
      </c>
      <c r="M24" s="7" t="n">
        <v>0</v>
      </c>
      <c r="N24" s="7" t="n">
        <v>0</v>
      </c>
      <c r="O24" s="7">
        <f>SUM(C24:N24)</f>
        <v/>
      </c>
    </row>
    <row r="25">
      <c r="A25" s="14" t="inlineStr">
        <is>
          <t>Savings</t>
        </is>
      </c>
      <c r="B25" s="14" t="inlineStr">
        <is>
          <t>Emergency Fund</t>
        </is>
      </c>
      <c r="C25" s="7" t="n">
        <v>0</v>
      </c>
      <c r="D25" s="7" t="n">
        <v>0</v>
      </c>
      <c r="E25" s="7" t="n">
        <v>0</v>
      </c>
      <c r="F25" s="7" t="n">
        <v>0</v>
      </c>
      <c r="G25" s="7" t="n">
        <v>0</v>
      </c>
      <c r="H25" s="7" t="n">
        <v>0</v>
      </c>
      <c r="I25" s="7" t="n">
        <v>0</v>
      </c>
      <c r="J25" s="7" t="n">
        <v>0</v>
      </c>
      <c r="K25" s="7" t="n">
        <v>0</v>
      </c>
      <c r="L25" s="7" t="n">
        <v>0</v>
      </c>
      <c r="M25" s="7" t="n">
        <v>0</v>
      </c>
      <c r="N25" s="7" t="n">
        <v>0</v>
      </c>
      <c r="O25" s="7">
        <f>SUM(C25:N25)</f>
        <v/>
      </c>
    </row>
    <row r="26">
      <c r="A26" s="14" t="inlineStr">
        <is>
          <t>Savings</t>
        </is>
      </c>
      <c r="B26" s="14" t="inlineStr">
        <is>
          <t>Retirement Savings</t>
        </is>
      </c>
      <c r="C26" s="7" t="n">
        <v>0</v>
      </c>
      <c r="D26" s="7" t="n">
        <v>0</v>
      </c>
      <c r="E26" s="7" t="n">
        <v>0</v>
      </c>
      <c r="F26" s="7" t="n">
        <v>0</v>
      </c>
      <c r="G26" s="7" t="n">
        <v>0</v>
      </c>
      <c r="H26" s="7" t="n">
        <v>0</v>
      </c>
      <c r="I26" s="7" t="n">
        <v>0</v>
      </c>
      <c r="J26" s="7" t="n">
        <v>0</v>
      </c>
      <c r="K26" s="7" t="n">
        <v>0</v>
      </c>
      <c r="L26" s="7" t="n">
        <v>0</v>
      </c>
      <c r="M26" s="7" t="n">
        <v>0</v>
      </c>
      <c r="N26" s="7" t="n">
        <v>0</v>
      </c>
      <c r="O26" s="7">
        <f>SUM(C26:N26)</f>
        <v/>
      </c>
    </row>
    <row r="27">
      <c r="A27" s="14" t="inlineStr">
        <is>
          <t>Savings</t>
        </is>
      </c>
      <c r="B27" s="14" t="inlineStr">
        <is>
          <t>College Savings</t>
        </is>
      </c>
      <c r="C27" s="7" t="n">
        <v>0</v>
      </c>
      <c r="D27" s="7" t="n">
        <v>0</v>
      </c>
      <c r="E27" s="7" t="n">
        <v>0</v>
      </c>
      <c r="F27" s="7" t="n">
        <v>0</v>
      </c>
      <c r="G27" s="7" t="n">
        <v>0</v>
      </c>
      <c r="H27" s="7" t="n">
        <v>0</v>
      </c>
      <c r="I27" s="7" t="n">
        <v>0</v>
      </c>
      <c r="J27" s="7" t="n">
        <v>0</v>
      </c>
      <c r="K27" s="7" t="n">
        <v>0</v>
      </c>
      <c r="L27" s="7" t="n">
        <v>0</v>
      </c>
      <c r="M27" s="7" t="n">
        <v>0</v>
      </c>
      <c r="N27" s="7" t="n">
        <v>0</v>
      </c>
      <c r="O27" s="7">
        <f>SUM(C27:N27)</f>
        <v/>
      </c>
    </row>
    <row r="28">
      <c r="A28" s="14" t="inlineStr">
        <is>
          <t>Savings</t>
        </is>
      </c>
      <c r="B28" s="14" t="inlineStr">
        <is>
          <t>Vacation Savings</t>
        </is>
      </c>
      <c r="C28" s="7" t="n">
        <v>0</v>
      </c>
      <c r="D28" s="7" t="n">
        <v>0</v>
      </c>
      <c r="E28" s="7" t="n">
        <v>0</v>
      </c>
      <c r="F28" s="7" t="n">
        <v>0</v>
      </c>
      <c r="G28" s="7" t="n">
        <v>0</v>
      </c>
      <c r="H28" s="7" t="n">
        <v>0</v>
      </c>
      <c r="I28" s="7" t="n">
        <v>0</v>
      </c>
      <c r="J28" s="7" t="n">
        <v>0</v>
      </c>
      <c r="K28" s="7" t="n">
        <v>0</v>
      </c>
      <c r="L28" s="7" t="n">
        <v>0</v>
      </c>
      <c r="M28" s="7" t="n">
        <v>0</v>
      </c>
      <c r="N28" s="7" t="n">
        <v>0</v>
      </c>
      <c r="O28" s="7">
        <f>SUM(C28:N28)</f>
        <v/>
      </c>
    </row>
    <row r="29">
      <c r="A29" s="14" t="inlineStr">
        <is>
          <t>Savings</t>
        </is>
      </c>
      <c r="B29" s="14" t="inlineStr">
        <is>
          <t>Other #1</t>
        </is>
      </c>
      <c r="C29" s="7" t="n">
        <v>0</v>
      </c>
      <c r="D29" s="7" t="n">
        <v>0</v>
      </c>
      <c r="E29" s="7" t="n">
        <v>0</v>
      </c>
      <c r="F29" s="7" t="n">
        <v>0</v>
      </c>
      <c r="G29" s="7" t="n">
        <v>0</v>
      </c>
      <c r="H29" s="7" t="n">
        <v>0</v>
      </c>
      <c r="I29" s="7" t="n">
        <v>0</v>
      </c>
      <c r="J29" s="7" t="n">
        <v>0</v>
      </c>
      <c r="K29" s="7" t="n">
        <v>0</v>
      </c>
      <c r="L29" s="7" t="n">
        <v>0</v>
      </c>
      <c r="M29" s="7" t="n">
        <v>0</v>
      </c>
      <c r="N29" s="7" t="n">
        <v>0</v>
      </c>
      <c r="O29" s="7">
        <f>SUM(C29:N29)</f>
        <v/>
      </c>
    </row>
    <row r="30">
      <c r="A30" s="14" t="inlineStr">
        <is>
          <t>Savings</t>
        </is>
      </c>
      <c r="B30" s="14" t="inlineStr">
        <is>
          <t>Other #2</t>
        </is>
      </c>
      <c r="C30" s="7" t="n">
        <v>0</v>
      </c>
      <c r="D30" s="7" t="n">
        <v>0</v>
      </c>
      <c r="E30" s="7" t="n">
        <v>0</v>
      </c>
      <c r="F30" s="7" t="n">
        <v>0</v>
      </c>
      <c r="G30" s="7" t="n">
        <v>0</v>
      </c>
      <c r="H30" s="7" t="n">
        <v>0</v>
      </c>
      <c r="I30" s="7" t="n">
        <v>0</v>
      </c>
      <c r="J30" s="7" t="n">
        <v>0</v>
      </c>
      <c r="K30" s="7" t="n">
        <v>0</v>
      </c>
      <c r="L30" s="7" t="n">
        <v>0</v>
      </c>
      <c r="M30" s="7" t="n">
        <v>0</v>
      </c>
      <c r="N30" s="7" t="n">
        <v>0</v>
      </c>
      <c r="O30" s="7">
        <f>SUM(C30:N30)</f>
        <v/>
      </c>
    </row>
    <row r="31">
      <c r="A31" s="14" t="inlineStr">
        <is>
          <t>Savings</t>
        </is>
      </c>
      <c r="B31" s="14" t="inlineStr">
        <is>
          <t>Other #3</t>
        </is>
      </c>
      <c r="C31" s="7" t="n">
        <v>0</v>
      </c>
      <c r="D31" s="7" t="n">
        <v>0</v>
      </c>
      <c r="E31" s="7" t="n">
        <v>0</v>
      </c>
      <c r="F31" s="7" t="n">
        <v>0</v>
      </c>
      <c r="G31" s="7" t="n">
        <v>0</v>
      </c>
      <c r="H31" s="7" t="n">
        <v>0</v>
      </c>
      <c r="I31" s="7" t="n">
        <v>0</v>
      </c>
      <c r="J31" s="7" t="n">
        <v>0</v>
      </c>
      <c r="K31" s="7" t="n">
        <v>0</v>
      </c>
      <c r="L31" s="7" t="n">
        <v>0</v>
      </c>
      <c r="M31" s="7" t="n">
        <v>0</v>
      </c>
      <c r="N31" s="7" t="n">
        <v>0</v>
      </c>
      <c r="O31" s="7">
        <f>SUM(C31:N31)</f>
        <v/>
      </c>
    </row>
    <row r="32">
      <c r="A32" s="14" t="inlineStr">
        <is>
          <t>Savings</t>
        </is>
      </c>
      <c r="B32" s="14" t="inlineStr">
        <is>
          <t>Other #4</t>
        </is>
      </c>
      <c r="C32" s="7" t="n">
        <v>0</v>
      </c>
      <c r="D32" s="7" t="n">
        <v>0</v>
      </c>
      <c r="E32" s="7" t="n">
        <v>0</v>
      </c>
      <c r="F32" s="7" t="n">
        <v>0</v>
      </c>
      <c r="G32" s="7" t="n">
        <v>0</v>
      </c>
      <c r="H32" s="7" t="n">
        <v>0</v>
      </c>
      <c r="I32" s="7" t="n">
        <v>0</v>
      </c>
      <c r="J32" s="7" t="n">
        <v>0</v>
      </c>
      <c r="K32" s="7" t="n">
        <v>0</v>
      </c>
      <c r="L32" s="7" t="n">
        <v>0</v>
      </c>
      <c r="M32" s="7" t="n">
        <v>0</v>
      </c>
      <c r="N32" s="7" t="n">
        <v>0</v>
      </c>
      <c r="O32" s="7">
        <f>SUM(C32:N32)</f>
        <v/>
      </c>
    </row>
    <row r="33">
      <c r="A33" s="14" t="inlineStr">
        <is>
          <t>Savings</t>
        </is>
      </c>
      <c r="B33" s="14" t="inlineStr">
        <is>
          <t>Other #5</t>
        </is>
      </c>
      <c r="C33" s="7" t="n">
        <v>0</v>
      </c>
      <c r="D33" s="7" t="n">
        <v>0</v>
      </c>
      <c r="E33" s="7" t="n">
        <v>0</v>
      </c>
      <c r="F33" s="7" t="n">
        <v>0</v>
      </c>
      <c r="G33" s="7" t="n">
        <v>0</v>
      </c>
      <c r="H33" s="7" t="n">
        <v>0</v>
      </c>
      <c r="I33" s="7" t="n">
        <v>0</v>
      </c>
      <c r="J33" s="7" t="n">
        <v>0</v>
      </c>
      <c r="K33" s="7" t="n">
        <v>0</v>
      </c>
      <c r="L33" s="7" t="n">
        <v>0</v>
      </c>
      <c r="M33" s="7" t="n">
        <v>0</v>
      </c>
      <c r="N33" s="7" t="n">
        <v>0</v>
      </c>
      <c r="O33" s="7">
        <f>SUM(C33:N33)</f>
        <v/>
      </c>
    </row>
    <row r="34">
      <c r="A34" s="14" t="inlineStr">
        <is>
          <t>Savings</t>
        </is>
      </c>
      <c r="B34" s="14" t="inlineStr">
        <is>
          <t>Other #6</t>
        </is>
      </c>
      <c r="C34" s="7" t="n">
        <v>0</v>
      </c>
      <c r="D34" s="7" t="n">
        <v>0</v>
      </c>
      <c r="E34" s="7" t="n">
        <v>0</v>
      </c>
      <c r="F34" s="7" t="n">
        <v>0</v>
      </c>
      <c r="G34" s="7" t="n">
        <v>0</v>
      </c>
      <c r="H34" s="7" t="n">
        <v>0</v>
      </c>
      <c r="I34" s="7" t="n">
        <v>0</v>
      </c>
      <c r="J34" s="7" t="n">
        <v>0</v>
      </c>
      <c r="K34" s="7" t="n">
        <v>0</v>
      </c>
      <c r="L34" s="7" t="n">
        <v>0</v>
      </c>
      <c r="M34" s="7" t="n">
        <v>0</v>
      </c>
      <c r="N34" s="7" t="n">
        <v>0</v>
      </c>
      <c r="O34" s="7">
        <f>SUM(C34:N34)</f>
        <v/>
      </c>
    </row>
    <row r="35">
      <c r="A35" s="14" t="inlineStr">
        <is>
          <t>Savings</t>
        </is>
      </c>
      <c r="B35" s="14" t="inlineStr">
        <is>
          <t>Other #7</t>
        </is>
      </c>
      <c r="C35" s="7" t="n">
        <v>0</v>
      </c>
      <c r="D35" s="7" t="n">
        <v>0</v>
      </c>
      <c r="E35" s="7" t="n">
        <v>0</v>
      </c>
      <c r="F35" s="7" t="n">
        <v>0</v>
      </c>
      <c r="G35" s="7" t="n">
        <v>0</v>
      </c>
      <c r="H35" s="7" t="n">
        <v>0</v>
      </c>
      <c r="I35" s="7" t="n">
        <v>0</v>
      </c>
      <c r="J35" s="7" t="n">
        <v>0</v>
      </c>
      <c r="K35" s="7" t="n">
        <v>0</v>
      </c>
      <c r="L35" s="7" t="n">
        <v>0</v>
      </c>
      <c r="M35" s="7" t="n">
        <v>0</v>
      </c>
      <c r="N35" s="7" t="n">
        <v>0</v>
      </c>
      <c r="O35" s="7">
        <f>SUM(C35:N35)</f>
        <v/>
      </c>
    </row>
    <row r="36">
      <c r="A36" s="14" t="inlineStr">
        <is>
          <t>Savings</t>
        </is>
      </c>
      <c r="B36" s="14" t="inlineStr">
        <is>
          <t>Other #8</t>
        </is>
      </c>
      <c r="C36" s="7" t="n">
        <v>0</v>
      </c>
      <c r="D36" s="7" t="n">
        <v>0</v>
      </c>
      <c r="E36" s="7" t="n">
        <v>0</v>
      </c>
      <c r="F36" s="7" t="n">
        <v>0</v>
      </c>
      <c r="G36" s="7" t="n">
        <v>0</v>
      </c>
      <c r="H36" s="7" t="n">
        <v>0</v>
      </c>
      <c r="I36" s="7" t="n">
        <v>0</v>
      </c>
      <c r="J36" s="7" t="n">
        <v>0</v>
      </c>
      <c r="K36" s="7" t="n">
        <v>0</v>
      </c>
      <c r="L36" s="7" t="n">
        <v>0</v>
      </c>
      <c r="M36" s="7" t="n">
        <v>0</v>
      </c>
      <c r="N36" s="7" t="n">
        <v>0</v>
      </c>
      <c r="O36" s="7">
        <f>SUM(C36:N36)</f>
        <v/>
      </c>
    </row>
    <row r="37">
      <c r="A37" s="14" t="inlineStr">
        <is>
          <t>Savings</t>
        </is>
      </c>
      <c r="B37" s="14" t="inlineStr">
        <is>
          <t>Other #9</t>
        </is>
      </c>
      <c r="C37" s="7" t="n">
        <v>0</v>
      </c>
      <c r="D37" s="7" t="n">
        <v>0</v>
      </c>
      <c r="E37" s="7" t="n">
        <v>0</v>
      </c>
      <c r="F37" s="7" t="n">
        <v>0</v>
      </c>
      <c r="G37" s="7" t="n">
        <v>0</v>
      </c>
      <c r="H37" s="7" t="n">
        <v>0</v>
      </c>
      <c r="I37" s="7" t="n">
        <v>0</v>
      </c>
      <c r="J37" s="7" t="n">
        <v>0</v>
      </c>
      <c r="K37" s="7" t="n">
        <v>0</v>
      </c>
      <c r="L37" s="7" t="n">
        <v>0</v>
      </c>
      <c r="M37" s="7" t="n">
        <v>0</v>
      </c>
      <c r="N37" s="7" t="n">
        <v>0</v>
      </c>
      <c r="O37" s="7">
        <f>SUM(C37:N37)</f>
        <v/>
      </c>
    </row>
    <row r="38">
      <c r="A38" s="14" t="inlineStr">
        <is>
          <t>Savings</t>
        </is>
      </c>
      <c r="B38" s="14" t="inlineStr">
        <is>
          <t>Other #10</t>
        </is>
      </c>
      <c r="C38" s="7" t="n">
        <v>0</v>
      </c>
      <c r="D38" s="7" t="n">
        <v>0</v>
      </c>
      <c r="E38" s="7" t="n">
        <v>0</v>
      </c>
      <c r="F38" s="7" t="n">
        <v>0</v>
      </c>
      <c r="G38" s="7" t="n">
        <v>0</v>
      </c>
      <c r="H38" s="7" t="n">
        <v>0</v>
      </c>
      <c r="I38" s="7" t="n">
        <v>0</v>
      </c>
      <c r="J38" s="7" t="n">
        <v>0</v>
      </c>
      <c r="K38" s="7" t="n">
        <v>0</v>
      </c>
      <c r="L38" s="7" t="n">
        <v>0</v>
      </c>
      <c r="M38" s="7" t="n">
        <v>0</v>
      </c>
      <c r="N38" s="7" t="n">
        <v>0</v>
      </c>
      <c r="O38" s="7">
        <f>SUM(C38:N38)</f>
        <v/>
      </c>
    </row>
    <row r="39">
      <c r="A39" s="15" t="inlineStr">
        <is>
          <t>Savings - Monthly Total</t>
        </is>
      </c>
      <c r="B39" s="15" t="inlineStr"/>
      <c r="C39" s="16">
        <f>SUM(C24:C38)</f>
        <v/>
      </c>
      <c r="D39" s="16">
        <f>SUM(D24:D38)</f>
        <v/>
      </c>
      <c r="E39" s="16">
        <f>SUM(E24:E38)</f>
        <v/>
      </c>
      <c r="F39" s="16">
        <f>SUM(F24:F38)</f>
        <v/>
      </c>
      <c r="G39" s="16">
        <f>SUM(G24:G38)</f>
        <v/>
      </c>
      <c r="H39" s="16">
        <f>SUM(H24:H38)</f>
        <v/>
      </c>
      <c r="I39" s="16">
        <f>SUM(I24:I38)</f>
        <v/>
      </c>
      <c r="J39" s="16">
        <f>SUM(J24:J38)</f>
        <v/>
      </c>
      <c r="K39" s="16">
        <f>SUM(K24:K38)</f>
        <v/>
      </c>
      <c r="L39" s="16">
        <f>SUM(L24:L38)</f>
        <v/>
      </c>
      <c r="M39" s="16">
        <f>SUM(M24:M38)</f>
        <v/>
      </c>
      <c r="N39" s="16">
        <f>SUM(N24:N38)</f>
        <v/>
      </c>
      <c r="O39" s="16">
        <f>SUM(O24:O38)</f>
        <v/>
      </c>
    </row>
    <row r="40"/>
    <row r="41" ht="20" customHeight="1">
      <c r="A41" s="19" t="inlineStr">
        <is>
          <t>EXPENSES</t>
        </is>
      </c>
      <c r="B41" s="20" t="n"/>
      <c r="C41" s="20" t="n"/>
      <c r="D41" s="20" t="n"/>
      <c r="E41" s="20" t="n"/>
      <c r="F41" s="20" t="n"/>
      <c r="G41" s="20" t="n"/>
      <c r="H41" s="20" t="n"/>
      <c r="I41" s="20" t="n"/>
      <c r="J41" s="20" t="n"/>
      <c r="K41" s="20" t="n"/>
      <c r="L41" s="20" t="n"/>
      <c r="M41" s="20" t="n"/>
      <c r="N41" s="20" t="n"/>
      <c r="O41" s="20" t="n"/>
    </row>
    <row r="42" ht="18" customHeight="1">
      <c r="A42" s="21" t="inlineStr">
        <is>
          <t>HOME</t>
        </is>
      </c>
      <c r="B42" s="22" t="n"/>
      <c r="C42" s="22" t="n"/>
      <c r="D42" s="22" t="n"/>
      <c r="E42" s="22" t="n"/>
      <c r="F42" s="22" t="n"/>
      <c r="G42" s="22" t="n"/>
      <c r="H42" s="22" t="n"/>
      <c r="I42" s="22" t="n"/>
      <c r="J42" s="22" t="n"/>
      <c r="K42" s="22" t="n"/>
      <c r="L42" s="22" t="n"/>
      <c r="M42" s="22" t="n"/>
      <c r="N42" s="22" t="n"/>
      <c r="O42" s="22" t="n"/>
    </row>
    <row r="43">
      <c r="A43" s="14" t="inlineStr">
        <is>
          <t>Home</t>
        </is>
      </c>
      <c r="B43" s="14" t="inlineStr">
        <is>
          <t>Mortgage / Rent</t>
        </is>
      </c>
      <c r="C43" s="7" t="n">
        <v>0</v>
      </c>
      <c r="D43" s="7" t="n">
        <v>0</v>
      </c>
      <c r="E43" s="7" t="n">
        <v>0</v>
      </c>
      <c r="F43" s="7" t="n">
        <v>0</v>
      </c>
      <c r="G43" s="7" t="n">
        <v>0</v>
      </c>
      <c r="H43" s="7" t="n">
        <v>0</v>
      </c>
      <c r="I43" s="7" t="n">
        <v>0</v>
      </c>
      <c r="J43" s="7" t="n">
        <v>0</v>
      </c>
      <c r="K43" s="7" t="n">
        <v>0</v>
      </c>
      <c r="L43" s="7" t="n">
        <v>0</v>
      </c>
      <c r="M43" s="7" t="n">
        <v>0</v>
      </c>
      <c r="N43" s="7" t="n">
        <v>0</v>
      </c>
      <c r="O43" s="7">
        <f>SUM(C43:N43)</f>
        <v/>
      </c>
    </row>
    <row r="44">
      <c r="A44" s="14" t="inlineStr">
        <is>
          <t>Home</t>
        </is>
      </c>
      <c r="B44" s="14" t="inlineStr">
        <is>
          <t>Home Insurance</t>
        </is>
      </c>
      <c r="C44" s="7" t="n">
        <v>0</v>
      </c>
      <c r="D44" s="7" t="n">
        <v>0</v>
      </c>
      <c r="E44" s="7" t="n">
        <v>0</v>
      </c>
      <c r="F44" s="7" t="n">
        <v>0</v>
      </c>
      <c r="G44" s="7" t="n">
        <v>0</v>
      </c>
      <c r="H44" s="7" t="n">
        <v>0</v>
      </c>
      <c r="I44" s="7" t="n">
        <v>0</v>
      </c>
      <c r="J44" s="7" t="n">
        <v>0</v>
      </c>
      <c r="K44" s="7" t="n">
        <v>0</v>
      </c>
      <c r="L44" s="7" t="n">
        <v>0</v>
      </c>
      <c r="M44" s="7" t="n">
        <v>0</v>
      </c>
      <c r="N44" s="7" t="n">
        <v>0</v>
      </c>
      <c r="O44" s="7">
        <f>SUM(C44:N44)</f>
        <v/>
      </c>
    </row>
    <row r="45">
      <c r="A45" s="14" t="inlineStr">
        <is>
          <t>Home</t>
        </is>
      </c>
      <c r="B45" s="14" t="inlineStr">
        <is>
          <t>Property Taxes</t>
        </is>
      </c>
      <c r="C45" s="7" t="n">
        <v>0</v>
      </c>
      <c r="D45" s="7" t="n">
        <v>0</v>
      </c>
      <c r="E45" s="7" t="n">
        <v>0</v>
      </c>
      <c r="F45" s="7" t="n">
        <v>0</v>
      </c>
      <c r="G45" s="7" t="n">
        <v>0</v>
      </c>
      <c r="H45" s="7" t="n">
        <v>0</v>
      </c>
      <c r="I45" s="7" t="n">
        <v>0</v>
      </c>
      <c r="J45" s="7" t="n">
        <v>0</v>
      </c>
      <c r="K45" s="7" t="n">
        <v>0</v>
      </c>
      <c r="L45" s="7" t="n">
        <v>0</v>
      </c>
      <c r="M45" s="7" t="n">
        <v>0</v>
      </c>
      <c r="N45" s="7" t="n">
        <v>0</v>
      </c>
      <c r="O45" s="7">
        <f>SUM(C45:N45)</f>
        <v/>
      </c>
    </row>
    <row r="46">
      <c r="A46" s="14" t="inlineStr">
        <is>
          <t>Home</t>
        </is>
      </c>
      <c r="B46" s="14" t="inlineStr">
        <is>
          <t>Home Maintenance &amp; Repairs</t>
        </is>
      </c>
      <c r="C46" s="7" t="n">
        <v>0</v>
      </c>
      <c r="D46" s="7" t="n">
        <v>0</v>
      </c>
      <c r="E46" s="7" t="n">
        <v>0</v>
      </c>
      <c r="F46" s="7" t="n">
        <v>0</v>
      </c>
      <c r="G46" s="7" t="n">
        <v>0</v>
      </c>
      <c r="H46" s="7" t="n">
        <v>0</v>
      </c>
      <c r="I46" s="7" t="n">
        <v>0</v>
      </c>
      <c r="J46" s="7" t="n">
        <v>0</v>
      </c>
      <c r="K46" s="7" t="n">
        <v>0</v>
      </c>
      <c r="L46" s="7" t="n">
        <v>0</v>
      </c>
      <c r="M46" s="7" t="n">
        <v>0</v>
      </c>
      <c r="N46" s="7" t="n">
        <v>0</v>
      </c>
      <c r="O46" s="7">
        <f>SUM(C46:N46)</f>
        <v/>
      </c>
    </row>
    <row r="47">
      <c r="A47" s="14" t="inlineStr">
        <is>
          <t>Home</t>
        </is>
      </c>
      <c r="B47" s="14" t="inlineStr">
        <is>
          <t>Utilities (electric/gas/water)</t>
        </is>
      </c>
      <c r="C47" s="7" t="n">
        <v>0</v>
      </c>
      <c r="D47" s="7" t="n">
        <v>0</v>
      </c>
      <c r="E47" s="7" t="n">
        <v>0</v>
      </c>
      <c r="F47" s="7" t="n">
        <v>0</v>
      </c>
      <c r="G47" s="7" t="n">
        <v>0</v>
      </c>
      <c r="H47" s="7" t="n">
        <v>0</v>
      </c>
      <c r="I47" s="7" t="n">
        <v>0</v>
      </c>
      <c r="J47" s="7" t="n">
        <v>0</v>
      </c>
      <c r="K47" s="7" t="n">
        <v>0</v>
      </c>
      <c r="L47" s="7" t="n">
        <v>0</v>
      </c>
      <c r="M47" s="7" t="n">
        <v>0</v>
      </c>
      <c r="N47" s="7" t="n">
        <v>0</v>
      </c>
      <c r="O47" s="7">
        <f>SUM(C47:N47)</f>
        <v/>
      </c>
    </row>
    <row r="48">
      <c r="A48" s="14" t="inlineStr">
        <is>
          <t>Home</t>
        </is>
      </c>
      <c r="B48" s="14" t="inlineStr">
        <is>
          <t>Internet &amp; Streaming</t>
        </is>
      </c>
      <c r="C48" s="7" t="n">
        <v>0</v>
      </c>
      <c r="D48" s="7" t="n">
        <v>0</v>
      </c>
      <c r="E48" s="7" t="n">
        <v>0</v>
      </c>
      <c r="F48" s="7" t="n">
        <v>0</v>
      </c>
      <c r="G48" s="7" t="n">
        <v>0</v>
      </c>
      <c r="H48" s="7" t="n">
        <v>0</v>
      </c>
      <c r="I48" s="7" t="n">
        <v>0</v>
      </c>
      <c r="J48" s="7" t="n">
        <v>0</v>
      </c>
      <c r="K48" s="7" t="n">
        <v>0</v>
      </c>
      <c r="L48" s="7" t="n">
        <v>0</v>
      </c>
      <c r="M48" s="7" t="n">
        <v>0</v>
      </c>
      <c r="N48" s="7" t="n">
        <v>0</v>
      </c>
      <c r="O48" s="7">
        <f>SUM(C48:N48)</f>
        <v/>
      </c>
    </row>
    <row r="49">
      <c r="A49" s="14" t="inlineStr">
        <is>
          <t>Home</t>
        </is>
      </c>
      <c r="B49" s="14" t="inlineStr">
        <is>
          <t>Other #1</t>
        </is>
      </c>
      <c r="C49" s="7" t="n">
        <v>0</v>
      </c>
      <c r="D49" s="7" t="n">
        <v>0</v>
      </c>
      <c r="E49" s="7" t="n">
        <v>0</v>
      </c>
      <c r="F49" s="7" t="n">
        <v>0</v>
      </c>
      <c r="G49" s="7" t="n">
        <v>0</v>
      </c>
      <c r="H49" s="7" t="n">
        <v>0</v>
      </c>
      <c r="I49" s="7" t="n">
        <v>0</v>
      </c>
      <c r="J49" s="7" t="n">
        <v>0</v>
      </c>
      <c r="K49" s="7" t="n">
        <v>0</v>
      </c>
      <c r="L49" s="7" t="n">
        <v>0</v>
      </c>
      <c r="M49" s="7" t="n">
        <v>0</v>
      </c>
      <c r="N49" s="7" t="n">
        <v>0</v>
      </c>
      <c r="O49" s="7">
        <f>SUM(C49:N49)</f>
        <v/>
      </c>
    </row>
    <row r="50">
      <c r="A50" s="14" t="inlineStr">
        <is>
          <t>Home</t>
        </is>
      </c>
      <c r="B50" s="14" t="inlineStr">
        <is>
          <t>Other #2</t>
        </is>
      </c>
      <c r="C50" s="7" t="n">
        <v>0</v>
      </c>
      <c r="D50" s="7" t="n">
        <v>0</v>
      </c>
      <c r="E50" s="7" t="n">
        <v>0</v>
      </c>
      <c r="F50" s="7" t="n">
        <v>0</v>
      </c>
      <c r="G50" s="7" t="n">
        <v>0</v>
      </c>
      <c r="H50" s="7" t="n">
        <v>0</v>
      </c>
      <c r="I50" s="7" t="n">
        <v>0</v>
      </c>
      <c r="J50" s="7" t="n">
        <v>0</v>
      </c>
      <c r="K50" s="7" t="n">
        <v>0</v>
      </c>
      <c r="L50" s="7" t="n">
        <v>0</v>
      </c>
      <c r="M50" s="7" t="n">
        <v>0</v>
      </c>
      <c r="N50" s="7" t="n">
        <v>0</v>
      </c>
      <c r="O50" s="7">
        <f>SUM(C50:N50)</f>
        <v/>
      </c>
    </row>
    <row r="51">
      <c r="A51" s="14" t="inlineStr">
        <is>
          <t>Home</t>
        </is>
      </c>
      <c r="B51" s="14" t="inlineStr">
        <is>
          <t>Other #3</t>
        </is>
      </c>
      <c r="C51" s="7" t="n">
        <v>0</v>
      </c>
      <c r="D51" s="7" t="n">
        <v>0</v>
      </c>
      <c r="E51" s="7" t="n">
        <v>0</v>
      </c>
      <c r="F51" s="7" t="n">
        <v>0</v>
      </c>
      <c r="G51" s="7" t="n">
        <v>0</v>
      </c>
      <c r="H51" s="7" t="n">
        <v>0</v>
      </c>
      <c r="I51" s="7" t="n">
        <v>0</v>
      </c>
      <c r="J51" s="7" t="n">
        <v>0</v>
      </c>
      <c r="K51" s="7" t="n">
        <v>0</v>
      </c>
      <c r="L51" s="7" t="n">
        <v>0</v>
      </c>
      <c r="M51" s="7" t="n">
        <v>0</v>
      </c>
      <c r="N51" s="7" t="n">
        <v>0</v>
      </c>
      <c r="O51" s="7">
        <f>SUM(C51:N51)</f>
        <v/>
      </c>
    </row>
    <row r="52">
      <c r="A52" s="14" t="inlineStr">
        <is>
          <t>Home</t>
        </is>
      </c>
      <c r="B52" s="14" t="inlineStr">
        <is>
          <t>Other #4</t>
        </is>
      </c>
      <c r="C52" s="7" t="n">
        <v>0</v>
      </c>
      <c r="D52" s="7" t="n">
        <v>0</v>
      </c>
      <c r="E52" s="7" t="n">
        <v>0</v>
      </c>
      <c r="F52" s="7" t="n">
        <v>0</v>
      </c>
      <c r="G52" s="7" t="n">
        <v>0</v>
      </c>
      <c r="H52" s="7" t="n">
        <v>0</v>
      </c>
      <c r="I52" s="7" t="n">
        <v>0</v>
      </c>
      <c r="J52" s="7" t="n">
        <v>0</v>
      </c>
      <c r="K52" s="7" t="n">
        <v>0</v>
      </c>
      <c r="L52" s="7" t="n">
        <v>0</v>
      </c>
      <c r="M52" s="7" t="n">
        <v>0</v>
      </c>
      <c r="N52" s="7" t="n">
        <v>0</v>
      </c>
      <c r="O52" s="7">
        <f>SUM(C52:N52)</f>
        <v/>
      </c>
    </row>
    <row r="53">
      <c r="A53" s="14" t="inlineStr">
        <is>
          <t>Home</t>
        </is>
      </c>
      <c r="B53" s="14" t="inlineStr">
        <is>
          <t>Other #5</t>
        </is>
      </c>
      <c r="C53" s="7" t="n">
        <v>0</v>
      </c>
      <c r="D53" s="7" t="n">
        <v>0</v>
      </c>
      <c r="E53" s="7" t="n">
        <v>0</v>
      </c>
      <c r="F53" s="7" t="n">
        <v>0</v>
      </c>
      <c r="G53" s="7" t="n">
        <v>0</v>
      </c>
      <c r="H53" s="7" t="n">
        <v>0</v>
      </c>
      <c r="I53" s="7" t="n">
        <v>0</v>
      </c>
      <c r="J53" s="7" t="n">
        <v>0</v>
      </c>
      <c r="K53" s="7" t="n">
        <v>0</v>
      </c>
      <c r="L53" s="7" t="n">
        <v>0</v>
      </c>
      <c r="M53" s="7" t="n">
        <v>0</v>
      </c>
      <c r="N53" s="7" t="n">
        <v>0</v>
      </c>
      <c r="O53" s="7">
        <f>SUM(C53:N53)</f>
        <v/>
      </c>
    </row>
    <row r="54">
      <c r="A54" s="15" t="inlineStr">
        <is>
          <t>Home - Monthly Total</t>
        </is>
      </c>
      <c r="B54" s="15" t="inlineStr"/>
      <c r="C54" s="16">
        <f>SUM(C43:C53)</f>
        <v/>
      </c>
      <c r="D54" s="16">
        <f>SUM(D43:D53)</f>
        <v/>
      </c>
      <c r="E54" s="16">
        <f>SUM(E43:E53)</f>
        <v/>
      </c>
      <c r="F54" s="16">
        <f>SUM(F43:F53)</f>
        <v/>
      </c>
      <c r="G54" s="16">
        <f>SUM(G43:G53)</f>
        <v/>
      </c>
      <c r="H54" s="16">
        <f>SUM(H43:H53)</f>
        <v/>
      </c>
      <c r="I54" s="16">
        <f>SUM(I43:I53)</f>
        <v/>
      </c>
      <c r="J54" s="16">
        <f>SUM(J43:J53)</f>
        <v/>
      </c>
      <c r="K54" s="16">
        <f>SUM(K43:K53)</f>
        <v/>
      </c>
      <c r="L54" s="16">
        <f>SUM(L43:L53)</f>
        <v/>
      </c>
      <c r="M54" s="16">
        <f>SUM(M43:M53)</f>
        <v/>
      </c>
      <c r="N54" s="16">
        <f>SUM(N43:N53)</f>
        <v/>
      </c>
      <c r="O54" s="16">
        <f>SUM(O43:O53)</f>
        <v/>
      </c>
    </row>
    <row r="55"/>
    <row r="56" ht="18" customHeight="1">
      <c r="A56" s="21" t="inlineStr">
        <is>
          <t>TRANSPORTATION</t>
        </is>
      </c>
      <c r="B56" s="22" t="n"/>
      <c r="C56" s="22" t="n"/>
      <c r="D56" s="22" t="n"/>
      <c r="E56" s="22" t="n"/>
      <c r="F56" s="22" t="n"/>
      <c r="G56" s="22" t="n"/>
      <c r="H56" s="22" t="n"/>
      <c r="I56" s="22" t="n"/>
      <c r="J56" s="22" t="n"/>
      <c r="K56" s="22" t="n"/>
      <c r="L56" s="22" t="n"/>
      <c r="M56" s="22" t="n"/>
      <c r="N56" s="22" t="n"/>
      <c r="O56" s="22" t="n"/>
    </row>
    <row r="57">
      <c r="A57" s="14" t="inlineStr">
        <is>
          <t>Transportation</t>
        </is>
      </c>
      <c r="B57" s="14" t="inlineStr">
        <is>
          <t>Car Payment(s)</t>
        </is>
      </c>
      <c r="C57" s="7" t="n">
        <v>0</v>
      </c>
      <c r="D57" s="7" t="n">
        <v>0</v>
      </c>
      <c r="E57" s="7" t="n">
        <v>0</v>
      </c>
      <c r="F57" s="7" t="n">
        <v>0</v>
      </c>
      <c r="G57" s="7" t="n">
        <v>0</v>
      </c>
      <c r="H57" s="7" t="n">
        <v>0</v>
      </c>
      <c r="I57" s="7" t="n">
        <v>0</v>
      </c>
      <c r="J57" s="7" t="n">
        <v>0</v>
      </c>
      <c r="K57" s="7" t="n">
        <v>0</v>
      </c>
      <c r="L57" s="7" t="n">
        <v>0</v>
      </c>
      <c r="M57" s="7" t="n">
        <v>0</v>
      </c>
      <c r="N57" s="7" t="n">
        <v>0</v>
      </c>
      <c r="O57" s="7">
        <f>SUM(C57:N57)</f>
        <v/>
      </c>
    </row>
    <row r="58">
      <c r="A58" s="14" t="inlineStr">
        <is>
          <t>Transportation</t>
        </is>
      </c>
      <c r="B58" s="14" t="inlineStr">
        <is>
          <t>Fuel / Gasoline</t>
        </is>
      </c>
      <c r="C58" s="7" t="n">
        <v>0</v>
      </c>
      <c r="D58" s="7" t="n">
        <v>0</v>
      </c>
      <c r="E58" s="7" t="n">
        <v>0</v>
      </c>
      <c r="F58" s="7" t="n">
        <v>0</v>
      </c>
      <c r="G58" s="7" t="n">
        <v>0</v>
      </c>
      <c r="H58" s="7" t="n">
        <v>0</v>
      </c>
      <c r="I58" s="7" t="n">
        <v>0</v>
      </c>
      <c r="J58" s="7" t="n">
        <v>0</v>
      </c>
      <c r="K58" s="7" t="n">
        <v>0</v>
      </c>
      <c r="L58" s="7" t="n">
        <v>0</v>
      </c>
      <c r="M58" s="7" t="n">
        <v>0</v>
      </c>
      <c r="N58" s="7" t="n">
        <v>0</v>
      </c>
      <c r="O58" s="7">
        <f>SUM(C58:N58)</f>
        <v/>
      </c>
    </row>
    <row r="59">
      <c r="A59" s="14" t="inlineStr">
        <is>
          <t>Transportation</t>
        </is>
      </c>
      <c r="B59" s="14" t="inlineStr">
        <is>
          <t>Auto Insurance</t>
        </is>
      </c>
      <c r="C59" s="7" t="n">
        <v>0</v>
      </c>
      <c r="D59" s="7" t="n">
        <v>0</v>
      </c>
      <c r="E59" s="7" t="n">
        <v>0</v>
      </c>
      <c r="F59" s="7" t="n">
        <v>0</v>
      </c>
      <c r="G59" s="7" t="n">
        <v>0</v>
      </c>
      <c r="H59" s="7" t="n">
        <v>0</v>
      </c>
      <c r="I59" s="7" t="n">
        <v>0</v>
      </c>
      <c r="J59" s="7" t="n">
        <v>0</v>
      </c>
      <c r="K59" s="7" t="n">
        <v>0</v>
      </c>
      <c r="L59" s="7" t="n">
        <v>0</v>
      </c>
      <c r="M59" s="7" t="n">
        <v>0</v>
      </c>
      <c r="N59" s="7" t="n">
        <v>0</v>
      </c>
      <c r="O59" s="7">
        <f>SUM(C59:N59)</f>
        <v/>
      </c>
    </row>
    <row r="60">
      <c r="A60" s="14" t="inlineStr">
        <is>
          <t>Transportation</t>
        </is>
      </c>
      <c r="B60" s="14" t="inlineStr">
        <is>
          <t>Public Transportation / Rideshare</t>
        </is>
      </c>
      <c r="C60" s="7" t="n">
        <v>0</v>
      </c>
      <c r="D60" s="7" t="n">
        <v>0</v>
      </c>
      <c r="E60" s="7" t="n">
        <v>0</v>
      </c>
      <c r="F60" s="7" t="n">
        <v>0</v>
      </c>
      <c r="G60" s="7" t="n">
        <v>0</v>
      </c>
      <c r="H60" s="7" t="n">
        <v>0</v>
      </c>
      <c r="I60" s="7" t="n">
        <v>0</v>
      </c>
      <c r="J60" s="7" t="n">
        <v>0</v>
      </c>
      <c r="K60" s="7" t="n">
        <v>0</v>
      </c>
      <c r="L60" s="7" t="n">
        <v>0</v>
      </c>
      <c r="M60" s="7" t="n">
        <v>0</v>
      </c>
      <c r="N60" s="7" t="n">
        <v>0</v>
      </c>
      <c r="O60" s="7">
        <f>SUM(C60:N60)</f>
        <v/>
      </c>
    </row>
    <row r="61">
      <c r="A61" s="14" t="inlineStr">
        <is>
          <t>Transportation</t>
        </is>
      </c>
      <c r="B61" s="14" t="inlineStr">
        <is>
          <t>Auto Maintenance &amp; Repairs</t>
        </is>
      </c>
      <c r="C61" s="7" t="n">
        <v>0</v>
      </c>
      <c r="D61" s="7" t="n">
        <v>0</v>
      </c>
      <c r="E61" s="7" t="n">
        <v>0</v>
      </c>
      <c r="F61" s="7" t="n">
        <v>0</v>
      </c>
      <c r="G61" s="7" t="n">
        <v>0</v>
      </c>
      <c r="H61" s="7" t="n">
        <v>0</v>
      </c>
      <c r="I61" s="7" t="n">
        <v>0</v>
      </c>
      <c r="J61" s="7" t="n">
        <v>0</v>
      </c>
      <c r="K61" s="7" t="n">
        <v>0</v>
      </c>
      <c r="L61" s="7" t="n">
        <v>0</v>
      </c>
      <c r="M61" s="7" t="n">
        <v>0</v>
      </c>
      <c r="N61" s="7" t="n">
        <v>0</v>
      </c>
      <c r="O61" s="7">
        <f>SUM(C61:N61)</f>
        <v/>
      </c>
    </row>
    <row r="62">
      <c r="A62" s="14" t="inlineStr">
        <is>
          <t>Transportation</t>
        </is>
      </c>
      <c r="B62" s="14" t="inlineStr">
        <is>
          <t>Other #1</t>
        </is>
      </c>
      <c r="C62" s="7" t="n">
        <v>0</v>
      </c>
      <c r="D62" s="7" t="n">
        <v>0</v>
      </c>
      <c r="E62" s="7" t="n">
        <v>0</v>
      </c>
      <c r="F62" s="7" t="n">
        <v>0</v>
      </c>
      <c r="G62" s="7" t="n">
        <v>0</v>
      </c>
      <c r="H62" s="7" t="n">
        <v>0</v>
      </c>
      <c r="I62" s="7" t="n">
        <v>0</v>
      </c>
      <c r="J62" s="7" t="n">
        <v>0</v>
      </c>
      <c r="K62" s="7" t="n">
        <v>0</v>
      </c>
      <c r="L62" s="7" t="n">
        <v>0</v>
      </c>
      <c r="M62" s="7" t="n">
        <v>0</v>
      </c>
      <c r="N62" s="7" t="n">
        <v>0</v>
      </c>
      <c r="O62" s="7">
        <f>SUM(C62:N62)</f>
        <v/>
      </c>
    </row>
    <row r="63">
      <c r="A63" s="14" t="inlineStr">
        <is>
          <t>Transportation</t>
        </is>
      </c>
      <c r="B63" s="14" t="inlineStr">
        <is>
          <t>Other #2</t>
        </is>
      </c>
      <c r="C63" s="7" t="n">
        <v>0</v>
      </c>
      <c r="D63" s="7" t="n">
        <v>0</v>
      </c>
      <c r="E63" s="7" t="n">
        <v>0</v>
      </c>
      <c r="F63" s="7" t="n">
        <v>0</v>
      </c>
      <c r="G63" s="7" t="n">
        <v>0</v>
      </c>
      <c r="H63" s="7" t="n">
        <v>0</v>
      </c>
      <c r="I63" s="7" t="n">
        <v>0</v>
      </c>
      <c r="J63" s="7" t="n">
        <v>0</v>
      </c>
      <c r="K63" s="7" t="n">
        <v>0</v>
      </c>
      <c r="L63" s="7" t="n">
        <v>0</v>
      </c>
      <c r="M63" s="7" t="n">
        <v>0</v>
      </c>
      <c r="N63" s="7" t="n">
        <v>0</v>
      </c>
      <c r="O63" s="7">
        <f>SUM(C63:N63)</f>
        <v/>
      </c>
    </row>
    <row r="64">
      <c r="A64" s="14" t="inlineStr">
        <is>
          <t>Transportation</t>
        </is>
      </c>
      <c r="B64" s="14" t="inlineStr">
        <is>
          <t>Other #3</t>
        </is>
      </c>
      <c r="C64" s="7" t="n">
        <v>0</v>
      </c>
      <c r="D64" s="7" t="n">
        <v>0</v>
      </c>
      <c r="E64" s="7" t="n">
        <v>0</v>
      </c>
      <c r="F64" s="7" t="n">
        <v>0</v>
      </c>
      <c r="G64" s="7" t="n">
        <v>0</v>
      </c>
      <c r="H64" s="7" t="n">
        <v>0</v>
      </c>
      <c r="I64" s="7" t="n">
        <v>0</v>
      </c>
      <c r="J64" s="7" t="n">
        <v>0</v>
      </c>
      <c r="K64" s="7" t="n">
        <v>0</v>
      </c>
      <c r="L64" s="7" t="n">
        <v>0</v>
      </c>
      <c r="M64" s="7" t="n">
        <v>0</v>
      </c>
      <c r="N64" s="7" t="n">
        <v>0</v>
      </c>
      <c r="O64" s="7">
        <f>SUM(C64:N64)</f>
        <v/>
      </c>
    </row>
    <row r="65">
      <c r="A65" s="14" t="inlineStr">
        <is>
          <t>Transportation</t>
        </is>
      </c>
      <c r="B65" s="14" t="inlineStr">
        <is>
          <t>Other #4</t>
        </is>
      </c>
      <c r="C65" s="7" t="n">
        <v>0</v>
      </c>
      <c r="D65" s="7" t="n">
        <v>0</v>
      </c>
      <c r="E65" s="7" t="n">
        <v>0</v>
      </c>
      <c r="F65" s="7" t="n">
        <v>0</v>
      </c>
      <c r="G65" s="7" t="n">
        <v>0</v>
      </c>
      <c r="H65" s="7" t="n">
        <v>0</v>
      </c>
      <c r="I65" s="7" t="n">
        <v>0</v>
      </c>
      <c r="J65" s="7" t="n">
        <v>0</v>
      </c>
      <c r="K65" s="7" t="n">
        <v>0</v>
      </c>
      <c r="L65" s="7" t="n">
        <v>0</v>
      </c>
      <c r="M65" s="7" t="n">
        <v>0</v>
      </c>
      <c r="N65" s="7" t="n">
        <v>0</v>
      </c>
      <c r="O65" s="7">
        <f>SUM(C65:N65)</f>
        <v/>
      </c>
    </row>
    <row r="66">
      <c r="A66" s="14" t="inlineStr">
        <is>
          <t>Transportation</t>
        </is>
      </c>
      <c r="B66" s="14" t="inlineStr">
        <is>
          <t>Other #5</t>
        </is>
      </c>
      <c r="C66" s="7" t="n">
        <v>0</v>
      </c>
      <c r="D66" s="7" t="n">
        <v>0</v>
      </c>
      <c r="E66" s="7" t="n">
        <v>0</v>
      </c>
      <c r="F66" s="7" t="n">
        <v>0</v>
      </c>
      <c r="G66" s="7" t="n">
        <v>0</v>
      </c>
      <c r="H66" s="7" t="n">
        <v>0</v>
      </c>
      <c r="I66" s="7" t="n">
        <v>0</v>
      </c>
      <c r="J66" s="7" t="n">
        <v>0</v>
      </c>
      <c r="K66" s="7" t="n">
        <v>0</v>
      </c>
      <c r="L66" s="7" t="n">
        <v>0</v>
      </c>
      <c r="M66" s="7" t="n">
        <v>0</v>
      </c>
      <c r="N66" s="7" t="n">
        <v>0</v>
      </c>
      <c r="O66" s="7">
        <f>SUM(C66:N66)</f>
        <v/>
      </c>
    </row>
    <row r="67">
      <c r="A67" s="15" t="inlineStr">
        <is>
          <t>Transportation - Monthly Total</t>
        </is>
      </c>
      <c r="B67" s="15" t="inlineStr"/>
      <c r="C67" s="16">
        <f>SUM(C57:C66)</f>
        <v/>
      </c>
      <c r="D67" s="16">
        <f>SUM(D57:D66)</f>
        <v/>
      </c>
      <c r="E67" s="16">
        <f>SUM(E57:E66)</f>
        <v/>
      </c>
      <c r="F67" s="16">
        <f>SUM(F57:F66)</f>
        <v/>
      </c>
      <c r="G67" s="16">
        <f>SUM(G57:G66)</f>
        <v/>
      </c>
      <c r="H67" s="16">
        <f>SUM(H57:H66)</f>
        <v/>
      </c>
      <c r="I67" s="16">
        <f>SUM(I57:I66)</f>
        <v/>
      </c>
      <c r="J67" s="16">
        <f>SUM(J57:J66)</f>
        <v/>
      </c>
      <c r="K67" s="16">
        <f>SUM(K57:K66)</f>
        <v/>
      </c>
      <c r="L67" s="16">
        <f>SUM(L57:L66)</f>
        <v/>
      </c>
      <c r="M67" s="16">
        <f>SUM(M57:M66)</f>
        <v/>
      </c>
      <c r="N67" s="16">
        <f>SUM(N57:N66)</f>
        <v/>
      </c>
      <c r="O67" s="16">
        <f>SUM(O57:O66)</f>
        <v/>
      </c>
    </row>
    <row r="68"/>
    <row r="69" ht="18" customHeight="1">
      <c r="A69" s="21" t="inlineStr">
        <is>
          <t>HEALTH</t>
        </is>
      </c>
      <c r="B69" s="22" t="n"/>
      <c r="C69" s="22" t="n"/>
      <c r="D69" s="22" t="n"/>
      <c r="E69" s="22" t="n"/>
      <c r="F69" s="22" t="n"/>
      <c r="G69" s="22" t="n"/>
      <c r="H69" s="22" t="n"/>
      <c r="I69" s="22" t="n"/>
      <c r="J69" s="22" t="n"/>
      <c r="K69" s="22" t="n"/>
      <c r="L69" s="22" t="n"/>
      <c r="M69" s="22" t="n"/>
      <c r="N69" s="22" t="n"/>
      <c r="O69" s="22" t="n"/>
    </row>
    <row r="70">
      <c r="A70" s="14" t="inlineStr">
        <is>
          <t>Health</t>
        </is>
      </c>
      <c r="B70" s="14" t="inlineStr">
        <is>
          <t>Health Insurance</t>
        </is>
      </c>
      <c r="C70" s="7" t="n">
        <v>0</v>
      </c>
      <c r="D70" s="7" t="n">
        <v>0</v>
      </c>
      <c r="E70" s="7" t="n">
        <v>0</v>
      </c>
      <c r="F70" s="7" t="n">
        <v>0</v>
      </c>
      <c r="G70" s="7" t="n">
        <v>0</v>
      </c>
      <c r="H70" s="7" t="n">
        <v>0</v>
      </c>
      <c r="I70" s="7" t="n">
        <v>0</v>
      </c>
      <c r="J70" s="7" t="n">
        <v>0</v>
      </c>
      <c r="K70" s="7" t="n">
        <v>0</v>
      </c>
      <c r="L70" s="7" t="n">
        <v>0</v>
      </c>
      <c r="M70" s="7" t="n">
        <v>0</v>
      </c>
      <c r="N70" s="7" t="n">
        <v>0</v>
      </c>
      <c r="O70" s="7">
        <f>SUM(C70:N70)</f>
        <v/>
      </c>
    </row>
    <row r="71">
      <c r="A71" s="14" t="inlineStr">
        <is>
          <t>Health</t>
        </is>
      </c>
      <c r="B71" s="14" t="inlineStr">
        <is>
          <t>Medical (out-of-pocket)</t>
        </is>
      </c>
      <c r="C71" s="7" t="n">
        <v>0</v>
      </c>
      <c r="D71" s="7" t="n">
        <v>0</v>
      </c>
      <c r="E71" s="7" t="n">
        <v>0</v>
      </c>
      <c r="F71" s="7" t="n">
        <v>0</v>
      </c>
      <c r="G71" s="7" t="n">
        <v>0</v>
      </c>
      <c r="H71" s="7" t="n">
        <v>0</v>
      </c>
      <c r="I71" s="7" t="n">
        <v>0</v>
      </c>
      <c r="J71" s="7" t="n">
        <v>0</v>
      </c>
      <c r="K71" s="7" t="n">
        <v>0</v>
      </c>
      <c r="L71" s="7" t="n">
        <v>0</v>
      </c>
      <c r="M71" s="7" t="n">
        <v>0</v>
      </c>
      <c r="N71" s="7" t="n">
        <v>0</v>
      </c>
      <c r="O71" s="7">
        <f>SUM(C71:N71)</f>
        <v/>
      </c>
    </row>
    <row r="72">
      <c r="A72" s="14" t="inlineStr">
        <is>
          <t>Health</t>
        </is>
      </c>
      <c r="B72" s="14" t="inlineStr">
        <is>
          <t>Dental / Vision</t>
        </is>
      </c>
      <c r="C72" s="7" t="n">
        <v>0</v>
      </c>
      <c r="D72" s="7" t="n">
        <v>0</v>
      </c>
      <c r="E72" s="7" t="n">
        <v>0</v>
      </c>
      <c r="F72" s="7" t="n">
        <v>0</v>
      </c>
      <c r="G72" s="7" t="n">
        <v>0</v>
      </c>
      <c r="H72" s="7" t="n">
        <v>0</v>
      </c>
      <c r="I72" s="7" t="n">
        <v>0</v>
      </c>
      <c r="J72" s="7" t="n">
        <v>0</v>
      </c>
      <c r="K72" s="7" t="n">
        <v>0</v>
      </c>
      <c r="L72" s="7" t="n">
        <v>0</v>
      </c>
      <c r="M72" s="7" t="n">
        <v>0</v>
      </c>
      <c r="N72" s="7" t="n">
        <v>0</v>
      </c>
      <c r="O72" s="7">
        <f>SUM(C72:N72)</f>
        <v/>
      </c>
    </row>
    <row r="73">
      <c r="A73" s="14" t="inlineStr">
        <is>
          <t>Health</t>
        </is>
      </c>
      <c r="B73" s="14" t="inlineStr">
        <is>
          <t>Prescriptions</t>
        </is>
      </c>
      <c r="C73" s="7" t="n">
        <v>0</v>
      </c>
      <c r="D73" s="7" t="n">
        <v>0</v>
      </c>
      <c r="E73" s="7" t="n">
        <v>0</v>
      </c>
      <c r="F73" s="7" t="n">
        <v>0</v>
      </c>
      <c r="G73" s="7" t="n">
        <v>0</v>
      </c>
      <c r="H73" s="7" t="n">
        <v>0</v>
      </c>
      <c r="I73" s="7" t="n">
        <v>0</v>
      </c>
      <c r="J73" s="7" t="n">
        <v>0</v>
      </c>
      <c r="K73" s="7" t="n">
        <v>0</v>
      </c>
      <c r="L73" s="7" t="n">
        <v>0</v>
      </c>
      <c r="M73" s="7" t="n">
        <v>0</v>
      </c>
      <c r="N73" s="7" t="n">
        <v>0</v>
      </c>
      <c r="O73" s="7">
        <f>SUM(C73:N73)</f>
        <v/>
      </c>
    </row>
    <row r="74">
      <c r="A74" s="14" t="inlineStr">
        <is>
          <t>Health</t>
        </is>
      </c>
      <c r="B74" s="14" t="inlineStr">
        <is>
          <t>Other #1</t>
        </is>
      </c>
      <c r="C74" s="7" t="n">
        <v>0</v>
      </c>
      <c r="D74" s="7" t="n">
        <v>0</v>
      </c>
      <c r="E74" s="7" t="n">
        <v>0</v>
      </c>
      <c r="F74" s="7" t="n">
        <v>0</v>
      </c>
      <c r="G74" s="7" t="n">
        <v>0</v>
      </c>
      <c r="H74" s="7" t="n">
        <v>0</v>
      </c>
      <c r="I74" s="7" t="n">
        <v>0</v>
      </c>
      <c r="J74" s="7" t="n">
        <v>0</v>
      </c>
      <c r="K74" s="7" t="n">
        <v>0</v>
      </c>
      <c r="L74" s="7" t="n">
        <v>0</v>
      </c>
      <c r="M74" s="7" t="n">
        <v>0</v>
      </c>
      <c r="N74" s="7" t="n">
        <v>0</v>
      </c>
      <c r="O74" s="7">
        <f>SUM(C74:N74)</f>
        <v/>
      </c>
    </row>
    <row r="75">
      <c r="A75" s="14" t="inlineStr">
        <is>
          <t>Health</t>
        </is>
      </c>
      <c r="B75" s="14" t="inlineStr">
        <is>
          <t>Other #2</t>
        </is>
      </c>
      <c r="C75" s="7" t="n">
        <v>0</v>
      </c>
      <c r="D75" s="7" t="n">
        <v>0</v>
      </c>
      <c r="E75" s="7" t="n">
        <v>0</v>
      </c>
      <c r="F75" s="7" t="n">
        <v>0</v>
      </c>
      <c r="G75" s="7" t="n">
        <v>0</v>
      </c>
      <c r="H75" s="7" t="n">
        <v>0</v>
      </c>
      <c r="I75" s="7" t="n">
        <v>0</v>
      </c>
      <c r="J75" s="7" t="n">
        <v>0</v>
      </c>
      <c r="K75" s="7" t="n">
        <v>0</v>
      </c>
      <c r="L75" s="7" t="n">
        <v>0</v>
      </c>
      <c r="M75" s="7" t="n">
        <v>0</v>
      </c>
      <c r="N75" s="7" t="n">
        <v>0</v>
      </c>
      <c r="O75" s="7">
        <f>SUM(C75:N75)</f>
        <v/>
      </c>
    </row>
    <row r="76">
      <c r="A76" s="14" t="inlineStr">
        <is>
          <t>Health</t>
        </is>
      </c>
      <c r="B76" s="14" t="inlineStr">
        <is>
          <t>Other #3</t>
        </is>
      </c>
      <c r="C76" s="7" t="n">
        <v>0</v>
      </c>
      <c r="D76" s="7" t="n">
        <v>0</v>
      </c>
      <c r="E76" s="7" t="n">
        <v>0</v>
      </c>
      <c r="F76" s="7" t="n">
        <v>0</v>
      </c>
      <c r="G76" s="7" t="n">
        <v>0</v>
      </c>
      <c r="H76" s="7" t="n">
        <v>0</v>
      </c>
      <c r="I76" s="7" t="n">
        <v>0</v>
      </c>
      <c r="J76" s="7" t="n">
        <v>0</v>
      </c>
      <c r="K76" s="7" t="n">
        <v>0</v>
      </c>
      <c r="L76" s="7" t="n">
        <v>0</v>
      </c>
      <c r="M76" s="7" t="n">
        <v>0</v>
      </c>
      <c r="N76" s="7" t="n">
        <v>0</v>
      </c>
      <c r="O76" s="7">
        <f>SUM(C76:N76)</f>
        <v/>
      </c>
    </row>
    <row r="77">
      <c r="A77" s="14" t="inlineStr">
        <is>
          <t>Health</t>
        </is>
      </c>
      <c r="B77" s="14" t="inlineStr">
        <is>
          <t>Other #4</t>
        </is>
      </c>
      <c r="C77" s="7" t="n">
        <v>0</v>
      </c>
      <c r="D77" s="7" t="n">
        <v>0</v>
      </c>
      <c r="E77" s="7" t="n">
        <v>0</v>
      </c>
      <c r="F77" s="7" t="n">
        <v>0</v>
      </c>
      <c r="G77" s="7" t="n">
        <v>0</v>
      </c>
      <c r="H77" s="7" t="n">
        <v>0</v>
      </c>
      <c r="I77" s="7" t="n">
        <v>0</v>
      </c>
      <c r="J77" s="7" t="n">
        <v>0</v>
      </c>
      <c r="K77" s="7" t="n">
        <v>0</v>
      </c>
      <c r="L77" s="7" t="n">
        <v>0</v>
      </c>
      <c r="M77" s="7" t="n">
        <v>0</v>
      </c>
      <c r="N77" s="7" t="n">
        <v>0</v>
      </c>
      <c r="O77" s="7">
        <f>SUM(C77:N77)</f>
        <v/>
      </c>
    </row>
    <row r="78">
      <c r="A78" s="14" t="inlineStr">
        <is>
          <t>Health</t>
        </is>
      </c>
      <c r="B78" s="14" t="inlineStr">
        <is>
          <t>Other #5</t>
        </is>
      </c>
      <c r="C78" s="7" t="n">
        <v>0</v>
      </c>
      <c r="D78" s="7" t="n">
        <v>0</v>
      </c>
      <c r="E78" s="7" t="n">
        <v>0</v>
      </c>
      <c r="F78" s="7" t="n">
        <v>0</v>
      </c>
      <c r="G78" s="7" t="n">
        <v>0</v>
      </c>
      <c r="H78" s="7" t="n">
        <v>0</v>
      </c>
      <c r="I78" s="7" t="n">
        <v>0</v>
      </c>
      <c r="J78" s="7" t="n">
        <v>0</v>
      </c>
      <c r="K78" s="7" t="n">
        <v>0</v>
      </c>
      <c r="L78" s="7" t="n">
        <v>0</v>
      </c>
      <c r="M78" s="7" t="n">
        <v>0</v>
      </c>
      <c r="N78" s="7" t="n">
        <v>0</v>
      </c>
      <c r="O78" s="7">
        <f>SUM(C78:N78)</f>
        <v/>
      </c>
    </row>
    <row r="79">
      <c r="A79" s="15" t="inlineStr">
        <is>
          <t>Health - Monthly Total</t>
        </is>
      </c>
      <c r="B79" s="15" t="inlineStr"/>
      <c r="C79" s="16">
        <f>SUM(C70:C78)</f>
        <v/>
      </c>
      <c r="D79" s="16">
        <f>SUM(D70:D78)</f>
        <v/>
      </c>
      <c r="E79" s="16">
        <f>SUM(E70:E78)</f>
        <v/>
      </c>
      <c r="F79" s="16">
        <f>SUM(F70:F78)</f>
        <v/>
      </c>
      <c r="G79" s="16">
        <f>SUM(G70:G78)</f>
        <v/>
      </c>
      <c r="H79" s="16">
        <f>SUM(H70:H78)</f>
        <v/>
      </c>
      <c r="I79" s="16">
        <f>SUM(I70:I78)</f>
        <v/>
      </c>
      <c r="J79" s="16">
        <f>SUM(J70:J78)</f>
        <v/>
      </c>
      <c r="K79" s="16">
        <f>SUM(K70:K78)</f>
        <v/>
      </c>
      <c r="L79" s="16">
        <f>SUM(L70:L78)</f>
        <v/>
      </c>
      <c r="M79" s="16">
        <f>SUM(M70:M78)</f>
        <v/>
      </c>
      <c r="N79" s="16">
        <f>SUM(N70:N78)</f>
        <v/>
      </c>
      <c r="O79" s="16">
        <f>SUM(O70:O78)</f>
        <v/>
      </c>
    </row>
    <row r="80"/>
    <row r="81" ht="18" customHeight="1">
      <c r="A81" s="21" t="inlineStr">
        <is>
          <t>DAILY LIVING</t>
        </is>
      </c>
      <c r="B81" s="22" t="n"/>
      <c r="C81" s="22" t="n"/>
      <c r="D81" s="22" t="n"/>
      <c r="E81" s="22" t="n"/>
      <c r="F81" s="22" t="n"/>
      <c r="G81" s="22" t="n"/>
      <c r="H81" s="22" t="n"/>
      <c r="I81" s="22" t="n"/>
      <c r="J81" s="22" t="n"/>
      <c r="K81" s="22" t="n"/>
      <c r="L81" s="22" t="n"/>
      <c r="M81" s="22" t="n"/>
      <c r="N81" s="22" t="n"/>
      <c r="O81" s="22" t="n"/>
    </row>
    <row r="82">
      <c r="A82" s="14" t="inlineStr">
        <is>
          <t>Daily Living</t>
        </is>
      </c>
      <c r="B82" s="14" t="inlineStr">
        <is>
          <t>Groceries</t>
        </is>
      </c>
      <c r="C82" s="7" t="n">
        <v>0</v>
      </c>
      <c r="D82" s="7" t="n">
        <v>0</v>
      </c>
      <c r="E82" s="7" t="n">
        <v>0</v>
      </c>
      <c r="F82" s="7" t="n">
        <v>0</v>
      </c>
      <c r="G82" s="7" t="n">
        <v>0</v>
      </c>
      <c r="H82" s="7" t="n">
        <v>0</v>
      </c>
      <c r="I82" s="7" t="n">
        <v>0</v>
      </c>
      <c r="J82" s="7" t="n">
        <v>0</v>
      </c>
      <c r="K82" s="7" t="n">
        <v>0</v>
      </c>
      <c r="L82" s="7" t="n">
        <v>0</v>
      </c>
      <c r="M82" s="7" t="n">
        <v>0</v>
      </c>
      <c r="N82" s="7" t="n">
        <v>0</v>
      </c>
      <c r="O82" s="7">
        <f>SUM(C82:N82)</f>
        <v/>
      </c>
    </row>
    <row r="83">
      <c r="A83" s="14" t="inlineStr">
        <is>
          <t>Daily Living</t>
        </is>
      </c>
      <c r="B83" s="14" t="inlineStr">
        <is>
          <t>Household Supplies</t>
        </is>
      </c>
      <c r="C83" s="7" t="n">
        <v>0</v>
      </c>
      <c r="D83" s="7" t="n">
        <v>0</v>
      </c>
      <c r="E83" s="7" t="n">
        <v>0</v>
      </c>
      <c r="F83" s="7" t="n">
        <v>0</v>
      </c>
      <c r="G83" s="7" t="n">
        <v>0</v>
      </c>
      <c r="H83" s="7" t="n">
        <v>0</v>
      </c>
      <c r="I83" s="7" t="n">
        <v>0</v>
      </c>
      <c r="J83" s="7" t="n">
        <v>0</v>
      </c>
      <c r="K83" s="7" t="n">
        <v>0</v>
      </c>
      <c r="L83" s="7" t="n">
        <v>0</v>
      </c>
      <c r="M83" s="7" t="n">
        <v>0</v>
      </c>
      <c r="N83" s="7" t="n">
        <v>0</v>
      </c>
      <c r="O83" s="7">
        <f>SUM(C83:N83)</f>
        <v/>
      </c>
    </row>
    <row r="84">
      <c r="A84" s="14" t="inlineStr">
        <is>
          <t>Daily Living</t>
        </is>
      </c>
      <c r="B84" s="14" t="inlineStr">
        <is>
          <t>Clothing &amp; Shoes</t>
        </is>
      </c>
      <c r="C84" s="7" t="n">
        <v>0</v>
      </c>
      <c r="D84" s="7" t="n">
        <v>0</v>
      </c>
      <c r="E84" s="7" t="n">
        <v>0</v>
      </c>
      <c r="F84" s="7" t="n">
        <v>0</v>
      </c>
      <c r="G84" s="7" t="n">
        <v>0</v>
      </c>
      <c r="H84" s="7" t="n">
        <v>0</v>
      </c>
      <c r="I84" s="7" t="n">
        <v>0</v>
      </c>
      <c r="J84" s="7" t="n">
        <v>0</v>
      </c>
      <c r="K84" s="7" t="n">
        <v>0</v>
      </c>
      <c r="L84" s="7" t="n">
        <v>0</v>
      </c>
      <c r="M84" s="7" t="n">
        <v>0</v>
      </c>
      <c r="N84" s="7" t="n">
        <v>0</v>
      </c>
      <c r="O84" s="7">
        <f>SUM(C84:N84)</f>
        <v/>
      </c>
    </row>
    <row r="85">
      <c r="A85" s="14" t="inlineStr">
        <is>
          <t>Daily Living</t>
        </is>
      </c>
      <c r="B85" s="14" t="inlineStr">
        <is>
          <t>Childcare / School Fees</t>
        </is>
      </c>
      <c r="C85" s="7" t="n">
        <v>0</v>
      </c>
      <c r="D85" s="7" t="n">
        <v>0</v>
      </c>
      <c r="E85" s="7" t="n">
        <v>0</v>
      </c>
      <c r="F85" s="7" t="n">
        <v>0</v>
      </c>
      <c r="G85" s="7" t="n">
        <v>0</v>
      </c>
      <c r="H85" s="7" t="n">
        <v>0</v>
      </c>
      <c r="I85" s="7" t="n">
        <v>0</v>
      </c>
      <c r="J85" s="7" t="n">
        <v>0</v>
      </c>
      <c r="K85" s="7" t="n">
        <v>0</v>
      </c>
      <c r="L85" s="7" t="n">
        <v>0</v>
      </c>
      <c r="M85" s="7" t="n">
        <v>0</v>
      </c>
      <c r="N85" s="7" t="n">
        <v>0</v>
      </c>
      <c r="O85" s="7">
        <f>SUM(C85:N85)</f>
        <v/>
      </c>
    </row>
    <row r="86">
      <c r="A86" s="14" t="inlineStr">
        <is>
          <t>Daily Living</t>
        </is>
      </c>
      <c r="B86" s="14" t="inlineStr">
        <is>
          <t>Pet Care</t>
        </is>
      </c>
      <c r="C86" s="7" t="n">
        <v>0</v>
      </c>
      <c r="D86" s="7" t="n">
        <v>0</v>
      </c>
      <c r="E86" s="7" t="n">
        <v>0</v>
      </c>
      <c r="F86" s="7" t="n">
        <v>0</v>
      </c>
      <c r="G86" s="7" t="n">
        <v>0</v>
      </c>
      <c r="H86" s="7" t="n">
        <v>0</v>
      </c>
      <c r="I86" s="7" t="n">
        <v>0</v>
      </c>
      <c r="J86" s="7" t="n">
        <v>0</v>
      </c>
      <c r="K86" s="7" t="n">
        <v>0</v>
      </c>
      <c r="L86" s="7" t="n">
        <v>0</v>
      </c>
      <c r="M86" s="7" t="n">
        <v>0</v>
      </c>
      <c r="N86" s="7" t="n">
        <v>0</v>
      </c>
      <c r="O86" s="7">
        <f>SUM(C86:N86)</f>
        <v/>
      </c>
    </row>
    <row r="87">
      <c r="A87" s="14" t="inlineStr">
        <is>
          <t>Daily Living</t>
        </is>
      </c>
      <c r="B87" s="14" t="inlineStr">
        <is>
          <t>Other #1</t>
        </is>
      </c>
      <c r="C87" s="7" t="n">
        <v>0</v>
      </c>
      <c r="D87" s="7" t="n">
        <v>0</v>
      </c>
      <c r="E87" s="7" t="n">
        <v>0</v>
      </c>
      <c r="F87" s="7" t="n">
        <v>0</v>
      </c>
      <c r="G87" s="7" t="n">
        <v>0</v>
      </c>
      <c r="H87" s="7" t="n">
        <v>0</v>
      </c>
      <c r="I87" s="7" t="n">
        <v>0</v>
      </c>
      <c r="J87" s="7" t="n">
        <v>0</v>
      </c>
      <c r="K87" s="7" t="n">
        <v>0</v>
      </c>
      <c r="L87" s="7" t="n">
        <v>0</v>
      </c>
      <c r="M87" s="7" t="n">
        <v>0</v>
      </c>
      <c r="N87" s="7" t="n">
        <v>0</v>
      </c>
      <c r="O87" s="7">
        <f>SUM(C87:N87)</f>
        <v/>
      </c>
    </row>
    <row r="88">
      <c r="A88" s="14" t="inlineStr">
        <is>
          <t>Daily Living</t>
        </is>
      </c>
      <c r="B88" s="14" t="inlineStr">
        <is>
          <t>Other #2</t>
        </is>
      </c>
      <c r="C88" s="7" t="n">
        <v>0</v>
      </c>
      <c r="D88" s="7" t="n">
        <v>0</v>
      </c>
      <c r="E88" s="7" t="n">
        <v>0</v>
      </c>
      <c r="F88" s="7" t="n">
        <v>0</v>
      </c>
      <c r="G88" s="7" t="n">
        <v>0</v>
      </c>
      <c r="H88" s="7" t="n">
        <v>0</v>
      </c>
      <c r="I88" s="7" t="n">
        <v>0</v>
      </c>
      <c r="J88" s="7" t="n">
        <v>0</v>
      </c>
      <c r="K88" s="7" t="n">
        <v>0</v>
      </c>
      <c r="L88" s="7" t="n">
        <v>0</v>
      </c>
      <c r="M88" s="7" t="n">
        <v>0</v>
      </c>
      <c r="N88" s="7" t="n">
        <v>0</v>
      </c>
      <c r="O88" s="7">
        <f>SUM(C88:N88)</f>
        <v/>
      </c>
    </row>
    <row r="89">
      <c r="A89" s="14" t="inlineStr">
        <is>
          <t>Daily Living</t>
        </is>
      </c>
      <c r="B89" s="14" t="inlineStr">
        <is>
          <t>Other #3</t>
        </is>
      </c>
      <c r="C89" s="7" t="n">
        <v>0</v>
      </c>
      <c r="D89" s="7" t="n">
        <v>0</v>
      </c>
      <c r="E89" s="7" t="n">
        <v>0</v>
      </c>
      <c r="F89" s="7" t="n">
        <v>0</v>
      </c>
      <c r="G89" s="7" t="n">
        <v>0</v>
      </c>
      <c r="H89" s="7" t="n">
        <v>0</v>
      </c>
      <c r="I89" s="7" t="n">
        <v>0</v>
      </c>
      <c r="J89" s="7" t="n">
        <v>0</v>
      </c>
      <c r="K89" s="7" t="n">
        <v>0</v>
      </c>
      <c r="L89" s="7" t="n">
        <v>0</v>
      </c>
      <c r="M89" s="7" t="n">
        <v>0</v>
      </c>
      <c r="N89" s="7" t="n">
        <v>0</v>
      </c>
      <c r="O89" s="7">
        <f>SUM(C89:N89)</f>
        <v/>
      </c>
    </row>
    <row r="90">
      <c r="A90" s="14" t="inlineStr">
        <is>
          <t>Daily Living</t>
        </is>
      </c>
      <c r="B90" s="14" t="inlineStr">
        <is>
          <t>Other #4</t>
        </is>
      </c>
      <c r="C90" s="7" t="n">
        <v>0</v>
      </c>
      <c r="D90" s="7" t="n">
        <v>0</v>
      </c>
      <c r="E90" s="7" t="n">
        <v>0</v>
      </c>
      <c r="F90" s="7" t="n">
        <v>0</v>
      </c>
      <c r="G90" s="7" t="n">
        <v>0</v>
      </c>
      <c r="H90" s="7" t="n">
        <v>0</v>
      </c>
      <c r="I90" s="7" t="n">
        <v>0</v>
      </c>
      <c r="J90" s="7" t="n">
        <v>0</v>
      </c>
      <c r="K90" s="7" t="n">
        <v>0</v>
      </c>
      <c r="L90" s="7" t="n">
        <v>0</v>
      </c>
      <c r="M90" s="7" t="n">
        <v>0</v>
      </c>
      <c r="N90" s="7" t="n">
        <v>0</v>
      </c>
      <c r="O90" s="7">
        <f>SUM(C90:N90)</f>
        <v/>
      </c>
    </row>
    <row r="91">
      <c r="A91" s="14" t="inlineStr">
        <is>
          <t>Daily Living</t>
        </is>
      </c>
      <c r="B91" s="14" t="inlineStr">
        <is>
          <t>Other #5</t>
        </is>
      </c>
      <c r="C91" s="7" t="n">
        <v>0</v>
      </c>
      <c r="D91" s="7" t="n">
        <v>0</v>
      </c>
      <c r="E91" s="7" t="n">
        <v>0</v>
      </c>
      <c r="F91" s="7" t="n">
        <v>0</v>
      </c>
      <c r="G91" s="7" t="n">
        <v>0</v>
      </c>
      <c r="H91" s="7" t="n">
        <v>0</v>
      </c>
      <c r="I91" s="7" t="n">
        <v>0</v>
      </c>
      <c r="J91" s="7" t="n">
        <v>0</v>
      </c>
      <c r="K91" s="7" t="n">
        <v>0</v>
      </c>
      <c r="L91" s="7" t="n">
        <v>0</v>
      </c>
      <c r="M91" s="7" t="n">
        <v>0</v>
      </c>
      <c r="N91" s="7" t="n">
        <v>0</v>
      </c>
      <c r="O91" s="7">
        <f>SUM(C91:N91)</f>
        <v/>
      </c>
    </row>
    <row r="92">
      <c r="A92" s="15" t="inlineStr">
        <is>
          <t>Daily Living - Monthly Total</t>
        </is>
      </c>
      <c r="B92" s="15" t="inlineStr"/>
      <c r="C92" s="16">
        <f>SUM(C82:C91)</f>
        <v/>
      </c>
      <c r="D92" s="16">
        <f>SUM(D82:D91)</f>
        <v/>
      </c>
      <c r="E92" s="16">
        <f>SUM(E82:E91)</f>
        <v/>
      </c>
      <c r="F92" s="16">
        <f>SUM(F82:F91)</f>
        <v/>
      </c>
      <c r="G92" s="16">
        <f>SUM(G82:G91)</f>
        <v/>
      </c>
      <c r="H92" s="16">
        <f>SUM(H82:H91)</f>
        <v/>
      </c>
      <c r="I92" s="16">
        <f>SUM(I82:I91)</f>
        <v/>
      </c>
      <c r="J92" s="16">
        <f>SUM(J82:J91)</f>
        <v/>
      </c>
      <c r="K92" s="16">
        <f>SUM(K82:K91)</f>
        <v/>
      </c>
      <c r="L92" s="16">
        <f>SUM(L82:L91)</f>
        <v/>
      </c>
      <c r="M92" s="16">
        <f>SUM(M82:M91)</f>
        <v/>
      </c>
      <c r="N92" s="16">
        <f>SUM(N82:N91)</f>
        <v/>
      </c>
      <c r="O92" s="16">
        <f>SUM(O82:O91)</f>
        <v/>
      </c>
    </row>
    <row r="93"/>
    <row r="94" ht="18" customHeight="1">
      <c r="A94" s="21" t="inlineStr">
        <is>
          <t>ENTERTAINMENT</t>
        </is>
      </c>
      <c r="B94" s="22" t="n"/>
      <c r="C94" s="22" t="n"/>
      <c r="D94" s="22" t="n"/>
      <c r="E94" s="22" t="n"/>
      <c r="F94" s="22" t="n"/>
      <c r="G94" s="22" t="n"/>
      <c r="H94" s="22" t="n"/>
      <c r="I94" s="22" t="n"/>
      <c r="J94" s="22" t="n"/>
      <c r="K94" s="22" t="n"/>
      <c r="L94" s="22" t="n"/>
      <c r="M94" s="22" t="n"/>
      <c r="N94" s="22" t="n"/>
      <c r="O94" s="22" t="n"/>
    </row>
    <row r="95">
      <c r="A95" s="14" t="inlineStr">
        <is>
          <t>Entertainment</t>
        </is>
      </c>
      <c r="B95" s="14" t="inlineStr">
        <is>
          <t>Dining Out</t>
        </is>
      </c>
      <c r="C95" s="7" t="n">
        <v>0</v>
      </c>
      <c r="D95" s="7" t="n">
        <v>0</v>
      </c>
      <c r="E95" s="7" t="n">
        <v>0</v>
      </c>
      <c r="F95" s="7" t="n">
        <v>0</v>
      </c>
      <c r="G95" s="7" t="n">
        <v>0</v>
      </c>
      <c r="H95" s="7" t="n">
        <v>0</v>
      </c>
      <c r="I95" s="7" t="n">
        <v>0</v>
      </c>
      <c r="J95" s="7" t="n">
        <v>0</v>
      </c>
      <c r="K95" s="7" t="n">
        <v>0</v>
      </c>
      <c r="L95" s="7" t="n">
        <v>0</v>
      </c>
      <c r="M95" s="7" t="n">
        <v>0</v>
      </c>
      <c r="N95" s="7" t="n">
        <v>0</v>
      </c>
      <c r="O95" s="7">
        <f>SUM(C95:N95)</f>
        <v/>
      </c>
    </row>
    <row r="96">
      <c r="A96" s="14" t="inlineStr">
        <is>
          <t>Entertainment</t>
        </is>
      </c>
      <c r="B96" s="14" t="inlineStr">
        <is>
          <t>Entertainment &amp; Subscriptions</t>
        </is>
      </c>
      <c r="C96" s="7" t="n">
        <v>0</v>
      </c>
      <c r="D96" s="7" t="n">
        <v>0</v>
      </c>
      <c r="E96" s="7" t="n">
        <v>0</v>
      </c>
      <c r="F96" s="7" t="n">
        <v>0</v>
      </c>
      <c r="G96" s="7" t="n">
        <v>0</v>
      </c>
      <c r="H96" s="7" t="n">
        <v>0</v>
      </c>
      <c r="I96" s="7" t="n">
        <v>0</v>
      </c>
      <c r="J96" s="7" t="n">
        <v>0</v>
      </c>
      <c r="K96" s="7" t="n">
        <v>0</v>
      </c>
      <c r="L96" s="7" t="n">
        <v>0</v>
      </c>
      <c r="M96" s="7" t="n">
        <v>0</v>
      </c>
      <c r="N96" s="7" t="n">
        <v>0</v>
      </c>
      <c r="O96" s="7">
        <f>SUM(C96:N96)</f>
        <v/>
      </c>
    </row>
    <row r="97">
      <c r="A97" s="14" t="inlineStr">
        <is>
          <t>Entertainment</t>
        </is>
      </c>
      <c r="B97" s="14" t="inlineStr">
        <is>
          <t>Hobbies / Recreation</t>
        </is>
      </c>
      <c r="C97" s="7" t="n">
        <v>0</v>
      </c>
      <c r="D97" s="7" t="n">
        <v>0</v>
      </c>
      <c r="E97" s="7" t="n">
        <v>0</v>
      </c>
      <c r="F97" s="7" t="n">
        <v>0</v>
      </c>
      <c r="G97" s="7" t="n">
        <v>0</v>
      </c>
      <c r="H97" s="7" t="n">
        <v>0</v>
      </c>
      <c r="I97" s="7" t="n">
        <v>0</v>
      </c>
      <c r="J97" s="7" t="n">
        <v>0</v>
      </c>
      <c r="K97" s="7" t="n">
        <v>0</v>
      </c>
      <c r="L97" s="7" t="n">
        <v>0</v>
      </c>
      <c r="M97" s="7" t="n">
        <v>0</v>
      </c>
      <c r="N97" s="7" t="n">
        <v>0</v>
      </c>
      <c r="O97" s="7">
        <f>SUM(C97:N97)</f>
        <v/>
      </c>
    </row>
    <row r="98">
      <c r="A98" s="14" t="inlineStr">
        <is>
          <t>Entertainment</t>
        </is>
      </c>
      <c r="B98" s="14" t="inlineStr">
        <is>
          <t>Travel / Vacation</t>
        </is>
      </c>
      <c r="C98" s="7" t="n">
        <v>0</v>
      </c>
      <c r="D98" s="7" t="n">
        <v>0</v>
      </c>
      <c r="E98" s="7" t="n">
        <v>0</v>
      </c>
      <c r="F98" s="7" t="n">
        <v>0</v>
      </c>
      <c r="G98" s="7" t="n">
        <v>0</v>
      </c>
      <c r="H98" s="7" t="n">
        <v>0</v>
      </c>
      <c r="I98" s="7" t="n">
        <v>0</v>
      </c>
      <c r="J98" s="7" t="n">
        <v>0</v>
      </c>
      <c r="K98" s="7" t="n">
        <v>0</v>
      </c>
      <c r="L98" s="7" t="n">
        <v>0</v>
      </c>
      <c r="M98" s="7" t="n">
        <v>0</v>
      </c>
      <c r="N98" s="7" t="n">
        <v>0</v>
      </c>
      <c r="O98" s="7">
        <f>SUM(C98:N98)</f>
        <v/>
      </c>
    </row>
    <row r="99">
      <c r="A99" s="14" t="inlineStr">
        <is>
          <t>Entertainment</t>
        </is>
      </c>
      <c r="B99" s="14" t="inlineStr">
        <is>
          <t>Other #1</t>
        </is>
      </c>
      <c r="C99" s="7" t="n">
        <v>0</v>
      </c>
      <c r="D99" s="7" t="n">
        <v>0</v>
      </c>
      <c r="E99" s="7" t="n">
        <v>0</v>
      </c>
      <c r="F99" s="7" t="n">
        <v>0</v>
      </c>
      <c r="G99" s="7" t="n">
        <v>0</v>
      </c>
      <c r="H99" s="7" t="n">
        <v>0</v>
      </c>
      <c r="I99" s="7" t="n">
        <v>0</v>
      </c>
      <c r="J99" s="7" t="n">
        <v>0</v>
      </c>
      <c r="K99" s="7" t="n">
        <v>0</v>
      </c>
      <c r="L99" s="7" t="n">
        <v>0</v>
      </c>
      <c r="M99" s="7" t="n">
        <v>0</v>
      </c>
      <c r="N99" s="7" t="n">
        <v>0</v>
      </c>
      <c r="O99" s="7">
        <f>SUM(C99:N99)</f>
        <v/>
      </c>
    </row>
    <row r="100">
      <c r="A100" s="14" t="inlineStr">
        <is>
          <t>Entertainment</t>
        </is>
      </c>
      <c r="B100" s="14" t="inlineStr">
        <is>
          <t>Other #2</t>
        </is>
      </c>
      <c r="C100" s="7" t="n">
        <v>0</v>
      </c>
      <c r="D100" s="7" t="n">
        <v>0</v>
      </c>
      <c r="E100" s="7" t="n">
        <v>0</v>
      </c>
      <c r="F100" s="7" t="n">
        <v>0</v>
      </c>
      <c r="G100" s="7" t="n">
        <v>0</v>
      </c>
      <c r="H100" s="7" t="n">
        <v>0</v>
      </c>
      <c r="I100" s="7" t="n">
        <v>0</v>
      </c>
      <c r="J100" s="7" t="n">
        <v>0</v>
      </c>
      <c r="K100" s="7" t="n">
        <v>0</v>
      </c>
      <c r="L100" s="7" t="n">
        <v>0</v>
      </c>
      <c r="M100" s="7" t="n">
        <v>0</v>
      </c>
      <c r="N100" s="7" t="n">
        <v>0</v>
      </c>
      <c r="O100" s="7">
        <f>SUM(C100:N100)</f>
        <v/>
      </c>
    </row>
    <row r="101">
      <c r="A101" s="14" t="inlineStr">
        <is>
          <t>Entertainment</t>
        </is>
      </c>
      <c r="B101" s="14" t="inlineStr">
        <is>
          <t>Other #3</t>
        </is>
      </c>
      <c r="C101" s="7" t="n">
        <v>0</v>
      </c>
      <c r="D101" s="7" t="n">
        <v>0</v>
      </c>
      <c r="E101" s="7" t="n">
        <v>0</v>
      </c>
      <c r="F101" s="7" t="n">
        <v>0</v>
      </c>
      <c r="G101" s="7" t="n">
        <v>0</v>
      </c>
      <c r="H101" s="7" t="n">
        <v>0</v>
      </c>
      <c r="I101" s="7" t="n">
        <v>0</v>
      </c>
      <c r="J101" s="7" t="n">
        <v>0</v>
      </c>
      <c r="K101" s="7" t="n">
        <v>0</v>
      </c>
      <c r="L101" s="7" t="n">
        <v>0</v>
      </c>
      <c r="M101" s="7" t="n">
        <v>0</v>
      </c>
      <c r="N101" s="7" t="n">
        <v>0</v>
      </c>
      <c r="O101" s="7">
        <f>SUM(C101:N101)</f>
        <v/>
      </c>
    </row>
    <row r="102">
      <c r="A102" s="14" t="inlineStr">
        <is>
          <t>Entertainment</t>
        </is>
      </c>
      <c r="B102" s="14" t="inlineStr">
        <is>
          <t>Other #4</t>
        </is>
      </c>
      <c r="C102" s="7" t="n">
        <v>0</v>
      </c>
      <c r="D102" s="7" t="n">
        <v>0</v>
      </c>
      <c r="E102" s="7" t="n">
        <v>0</v>
      </c>
      <c r="F102" s="7" t="n">
        <v>0</v>
      </c>
      <c r="G102" s="7" t="n">
        <v>0</v>
      </c>
      <c r="H102" s="7" t="n">
        <v>0</v>
      </c>
      <c r="I102" s="7" t="n">
        <v>0</v>
      </c>
      <c r="J102" s="7" t="n">
        <v>0</v>
      </c>
      <c r="K102" s="7" t="n">
        <v>0</v>
      </c>
      <c r="L102" s="7" t="n">
        <v>0</v>
      </c>
      <c r="M102" s="7" t="n">
        <v>0</v>
      </c>
      <c r="N102" s="7" t="n">
        <v>0</v>
      </c>
      <c r="O102" s="7">
        <f>SUM(C102:N102)</f>
        <v/>
      </c>
    </row>
    <row r="103">
      <c r="A103" s="14" t="inlineStr">
        <is>
          <t>Entertainment</t>
        </is>
      </c>
      <c r="B103" s="14" t="inlineStr">
        <is>
          <t>Other #5</t>
        </is>
      </c>
      <c r="C103" s="7" t="n">
        <v>0</v>
      </c>
      <c r="D103" s="7" t="n">
        <v>0</v>
      </c>
      <c r="E103" s="7" t="n">
        <v>0</v>
      </c>
      <c r="F103" s="7" t="n">
        <v>0</v>
      </c>
      <c r="G103" s="7" t="n">
        <v>0</v>
      </c>
      <c r="H103" s="7" t="n">
        <v>0</v>
      </c>
      <c r="I103" s="7" t="n">
        <v>0</v>
      </c>
      <c r="J103" s="7" t="n">
        <v>0</v>
      </c>
      <c r="K103" s="7" t="n">
        <v>0</v>
      </c>
      <c r="L103" s="7" t="n">
        <v>0</v>
      </c>
      <c r="M103" s="7" t="n">
        <v>0</v>
      </c>
      <c r="N103" s="7" t="n">
        <v>0</v>
      </c>
      <c r="O103" s="7">
        <f>SUM(C103:N103)</f>
        <v/>
      </c>
    </row>
    <row r="104">
      <c r="A104" s="15" t="inlineStr">
        <is>
          <t>Entertainment - Monthly Total</t>
        </is>
      </c>
      <c r="B104" s="15" t="inlineStr"/>
      <c r="C104" s="16">
        <f>SUM(C95:C103)</f>
        <v/>
      </c>
      <c r="D104" s="16">
        <f>SUM(D95:D103)</f>
        <v/>
      </c>
      <c r="E104" s="16">
        <f>SUM(E95:E103)</f>
        <v/>
      </c>
      <c r="F104" s="16">
        <f>SUM(F95:F103)</f>
        <v/>
      </c>
      <c r="G104" s="16">
        <f>SUM(G95:G103)</f>
        <v/>
      </c>
      <c r="H104" s="16">
        <f>SUM(H95:H103)</f>
        <v/>
      </c>
      <c r="I104" s="16">
        <f>SUM(I95:I103)</f>
        <v/>
      </c>
      <c r="J104" s="16">
        <f>SUM(J95:J103)</f>
        <v/>
      </c>
      <c r="K104" s="16">
        <f>SUM(K95:K103)</f>
        <v/>
      </c>
      <c r="L104" s="16">
        <f>SUM(L95:L103)</f>
        <v/>
      </c>
      <c r="M104" s="16">
        <f>SUM(M95:M103)</f>
        <v/>
      </c>
      <c r="N104" s="16">
        <f>SUM(N95:N103)</f>
        <v/>
      </c>
      <c r="O104" s="16">
        <f>SUM(O95:O103)</f>
        <v/>
      </c>
    </row>
    <row r="105"/>
    <row r="106" ht="18" customHeight="1">
      <c r="A106" s="21" t="inlineStr">
        <is>
          <t>PERSONAL &amp; FAMILY</t>
        </is>
      </c>
      <c r="B106" s="22" t="n"/>
      <c r="C106" s="22" t="n"/>
      <c r="D106" s="22" t="n"/>
      <c r="E106" s="22" t="n"/>
      <c r="F106" s="22" t="n"/>
      <c r="G106" s="22" t="n"/>
      <c r="H106" s="22" t="n"/>
      <c r="I106" s="22" t="n"/>
      <c r="J106" s="22" t="n"/>
      <c r="K106" s="22" t="n"/>
      <c r="L106" s="22" t="n"/>
      <c r="M106" s="22" t="n"/>
      <c r="N106" s="22" t="n"/>
      <c r="O106" s="22" t="n"/>
    </row>
    <row r="107">
      <c r="A107" s="14" t="inlineStr">
        <is>
          <t>Personal &amp; Family</t>
        </is>
      </c>
      <c r="B107" s="14" t="inlineStr">
        <is>
          <t>Personal Care</t>
        </is>
      </c>
      <c r="C107" s="7" t="n">
        <v>0</v>
      </c>
      <c r="D107" s="7" t="n">
        <v>0</v>
      </c>
      <c r="E107" s="7" t="n">
        <v>0</v>
      </c>
      <c r="F107" s="7" t="n">
        <v>0</v>
      </c>
      <c r="G107" s="7" t="n">
        <v>0</v>
      </c>
      <c r="H107" s="7" t="n">
        <v>0</v>
      </c>
      <c r="I107" s="7" t="n">
        <v>0</v>
      </c>
      <c r="J107" s="7" t="n">
        <v>0</v>
      </c>
      <c r="K107" s="7" t="n">
        <v>0</v>
      </c>
      <c r="L107" s="7" t="n">
        <v>0</v>
      </c>
      <c r="M107" s="7" t="n">
        <v>0</v>
      </c>
      <c r="N107" s="7" t="n">
        <v>0</v>
      </c>
      <c r="O107" s="7">
        <f>SUM(C107:N107)</f>
        <v/>
      </c>
    </row>
    <row r="108">
      <c r="A108" s="14" t="inlineStr">
        <is>
          <t>Personal &amp; Family</t>
        </is>
      </c>
      <c r="B108" s="14" t="inlineStr">
        <is>
          <t>Gifts &amp; Celebrations</t>
        </is>
      </c>
      <c r="C108" s="7" t="n">
        <v>0</v>
      </c>
      <c r="D108" s="7" t="n">
        <v>0</v>
      </c>
      <c r="E108" s="7" t="n">
        <v>0</v>
      </c>
      <c r="F108" s="7" t="n">
        <v>0</v>
      </c>
      <c r="G108" s="7" t="n">
        <v>0</v>
      </c>
      <c r="H108" s="7" t="n">
        <v>0</v>
      </c>
      <c r="I108" s="7" t="n">
        <v>0</v>
      </c>
      <c r="J108" s="7" t="n">
        <v>0</v>
      </c>
      <c r="K108" s="7" t="n">
        <v>0</v>
      </c>
      <c r="L108" s="7" t="n">
        <v>0</v>
      </c>
      <c r="M108" s="7" t="n">
        <v>0</v>
      </c>
      <c r="N108" s="7" t="n">
        <v>0</v>
      </c>
      <c r="O108" s="7">
        <f>SUM(C108:N108)</f>
        <v/>
      </c>
    </row>
    <row r="109">
      <c r="A109" s="14" t="inlineStr">
        <is>
          <t>Personal &amp; Family</t>
        </is>
      </c>
      <c r="B109" s="14" t="inlineStr">
        <is>
          <t>Education &amp; Development</t>
        </is>
      </c>
      <c r="C109" s="7" t="n">
        <v>0</v>
      </c>
      <c r="D109" s="7" t="n">
        <v>0</v>
      </c>
      <c r="E109" s="7" t="n">
        <v>0</v>
      </c>
      <c r="F109" s="7" t="n">
        <v>0</v>
      </c>
      <c r="G109" s="7" t="n">
        <v>0</v>
      </c>
      <c r="H109" s="7" t="n">
        <v>0</v>
      </c>
      <c r="I109" s="7" t="n">
        <v>0</v>
      </c>
      <c r="J109" s="7" t="n">
        <v>0</v>
      </c>
      <c r="K109" s="7" t="n">
        <v>0</v>
      </c>
      <c r="L109" s="7" t="n">
        <v>0</v>
      </c>
      <c r="M109" s="7" t="n">
        <v>0</v>
      </c>
      <c r="N109" s="7" t="n">
        <v>0</v>
      </c>
      <c r="O109" s="7">
        <f>SUM(C109:N109)</f>
        <v/>
      </c>
    </row>
    <row r="110">
      <c r="A110" s="14" t="inlineStr">
        <is>
          <t>Personal &amp; Family</t>
        </is>
      </c>
      <c r="B110" s="14" t="inlineStr">
        <is>
          <t>Memberships &amp; Subscriptions</t>
        </is>
      </c>
      <c r="C110" s="7" t="n">
        <v>0</v>
      </c>
      <c r="D110" s="7" t="n">
        <v>0</v>
      </c>
      <c r="E110" s="7" t="n">
        <v>0</v>
      </c>
      <c r="F110" s="7" t="n">
        <v>0</v>
      </c>
      <c r="G110" s="7" t="n">
        <v>0</v>
      </c>
      <c r="H110" s="7" t="n">
        <v>0</v>
      </c>
      <c r="I110" s="7" t="n">
        <v>0</v>
      </c>
      <c r="J110" s="7" t="n">
        <v>0</v>
      </c>
      <c r="K110" s="7" t="n">
        <v>0</v>
      </c>
      <c r="L110" s="7" t="n">
        <v>0</v>
      </c>
      <c r="M110" s="7" t="n">
        <v>0</v>
      </c>
      <c r="N110" s="7" t="n">
        <v>0</v>
      </c>
      <c r="O110" s="7">
        <f>SUM(C110:N110)</f>
        <v/>
      </c>
    </row>
    <row r="111">
      <c r="A111" s="14" t="inlineStr">
        <is>
          <t>Personal &amp; Family</t>
        </is>
      </c>
      <c r="B111" s="14" t="inlineStr">
        <is>
          <t>Other #1</t>
        </is>
      </c>
      <c r="C111" s="7" t="n">
        <v>0</v>
      </c>
      <c r="D111" s="7" t="n">
        <v>0</v>
      </c>
      <c r="E111" s="7" t="n">
        <v>0</v>
      </c>
      <c r="F111" s="7" t="n">
        <v>0</v>
      </c>
      <c r="G111" s="7" t="n">
        <v>0</v>
      </c>
      <c r="H111" s="7" t="n">
        <v>0</v>
      </c>
      <c r="I111" s="7" t="n">
        <v>0</v>
      </c>
      <c r="J111" s="7" t="n">
        <v>0</v>
      </c>
      <c r="K111" s="7" t="n">
        <v>0</v>
      </c>
      <c r="L111" s="7" t="n">
        <v>0</v>
      </c>
      <c r="M111" s="7" t="n">
        <v>0</v>
      </c>
      <c r="N111" s="7" t="n">
        <v>0</v>
      </c>
      <c r="O111" s="7">
        <f>SUM(C111:N111)</f>
        <v/>
      </c>
    </row>
    <row r="112">
      <c r="A112" s="14" t="inlineStr">
        <is>
          <t>Personal &amp; Family</t>
        </is>
      </c>
      <c r="B112" s="14" t="inlineStr">
        <is>
          <t>Other #2</t>
        </is>
      </c>
      <c r="C112" s="7" t="n">
        <v>0</v>
      </c>
      <c r="D112" s="7" t="n">
        <v>0</v>
      </c>
      <c r="E112" s="7" t="n">
        <v>0</v>
      </c>
      <c r="F112" s="7" t="n">
        <v>0</v>
      </c>
      <c r="G112" s="7" t="n">
        <v>0</v>
      </c>
      <c r="H112" s="7" t="n">
        <v>0</v>
      </c>
      <c r="I112" s="7" t="n">
        <v>0</v>
      </c>
      <c r="J112" s="7" t="n">
        <v>0</v>
      </c>
      <c r="K112" s="7" t="n">
        <v>0</v>
      </c>
      <c r="L112" s="7" t="n">
        <v>0</v>
      </c>
      <c r="M112" s="7" t="n">
        <v>0</v>
      </c>
      <c r="N112" s="7" t="n">
        <v>0</v>
      </c>
      <c r="O112" s="7">
        <f>SUM(C112:N112)</f>
        <v/>
      </c>
    </row>
    <row r="113">
      <c r="A113" s="14" t="inlineStr">
        <is>
          <t>Personal &amp; Family</t>
        </is>
      </c>
      <c r="B113" s="14" t="inlineStr">
        <is>
          <t>Other #3</t>
        </is>
      </c>
      <c r="C113" s="7" t="n">
        <v>0</v>
      </c>
      <c r="D113" s="7" t="n">
        <v>0</v>
      </c>
      <c r="E113" s="7" t="n">
        <v>0</v>
      </c>
      <c r="F113" s="7" t="n">
        <v>0</v>
      </c>
      <c r="G113" s="7" t="n">
        <v>0</v>
      </c>
      <c r="H113" s="7" t="n">
        <v>0</v>
      </c>
      <c r="I113" s="7" t="n">
        <v>0</v>
      </c>
      <c r="J113" s="7" t="n">
        <v>0</v>
      </c>
      <c r="K113" s="7" t="n">
        <v>0</v>
      </c>
      <c r="L113" s="7" t="n">
        <v>0</v>
      </c>
      <c r="M113" s="7" t="n">
        <v>0</v>
      </c>
      <c r="N113" s="7" t="n">
        <v>0</v>
      </c>
      <c r="O113" s="7">
        <f>SUM(C113:N113)</f>
        <v/>
      </c>
    </row>
    <row r="114">
      <c r="A114" s="14" t="inlineStr">
        <is>
          <t>Personal &amp; Family</t>
        </is>
      </c>
      <c r="B114" s="14" t="inlineStr">
        <is>
          <t>Other #4</t>
        </is>
      </c>
      <c r="C114" s="7" t="n">
        <v>0</v>
      </c>
      <c r="D114" s="7" t="n">
        <v>0</v>
      </c>
      <c r="E114" s="7" t="n">
        <v>0</v>
      </c>
      <c r="F114" s="7" t="n">
        <v>0</v>
      </c>
      <c r="G114" s="7" t="n">
        <v>0</v>
      </c>
      <c r="H114" s="7" t="n">
        <v>0</v>
      </c>
      <c r="I114" s="7" t="n">
        <v>0</v>
      </c>
      <c r="J114" s="7" t="n">
        <v>0</v>
      </c>
      <c r="K114" s="7" t="n">
        <v>0</v>
      </c>
      <c r="L114" s="7" t="n">
        <v>0</v>
      </c>
      <c r="M114" s="7" t="n">
        <v>0</v>
      </c>
      <c r="N114" s="7" t="n">
        <v>0</v>
      </c>
      <c r="O114" s="7">
        <f>SUM(C114:N114)</f>
        <v/>
      </c>
    </row>
    <row r="115">
      <c r="A115" s="14" t="inlineStr">
        <is>
          <t>Personal &amp; Family</t>
        </is>
      </c>
      <c r="B115" s="14" t="inlineStr">
        <is>
          <t>Other #5</t>
        </is>
      </c>
      <c r="C115" s="7" t="n">
        <v>0</v>
      </c>
      <c r="D115" s="7" t="n">
        <v>0</v>
      </c>
      <c r="E115" s="7" t="n">
        <v>0</v>
      </c>
      <c r="F115" s="7" t="n">
        <v>0</v>
      </c>
      <c r="G115" s="7" t="n">
        <v>0</v>
      </c>
      <c r="H115" s="7" t="n">
        <v>0</v>
      </c>
      <c r="I115" s="7" t="n">
        <v>0</v>
      </c>
      <c r="J115" s="7" t="n">
        <v>0</v>
      </c>
      <c r="K115" s="7" t="n">
        <v>0</v>
      </c>
      <c r="L115" s="7" t="n">
        <v>0</v>
      </c>
      <c r="M115" s="7" t="n">
        <v>0</v>
      </c>
      <c r="N115" s="7" t="n">
        <v>0</v>
      </c>
      <c r="O115" s="7">
        <f>SUM(C115:N115)</f>
        <v/>
      </c>
    </row>
    <row r="116">
      <c r="A116" s="15" t="inlineStr">
        <is>
          <t>Personal &amp; Family - Monthly Total</t>
        </is>
      </c>
      <c r="B116" s="15" t="inlineStr"/>
      <c r="C116" s="16">
        <f>SUM(C107:C115)</f>
        <v/>
      </c>
      <c r="D116" s="16">
        <f>SUM(D107:D115)</f>
        <v/>
      </c>
      <c r="E116" s="16">
        <f>SUM(E107:E115)</f>
        <v/>
      </c>
      <c r="F116" s="16">
        <f>SUM(F107:F115)</f>
        <v/>
      </c>
      <c r="G116" s="16">
        <f>SUM(G107:G115)</f>
        <v/>
      </c>
      <c r="H116" s="16">
        <f>SUM(H107:H115)</f>
        <v/>
      </c>
      <c r="I116" s="16">
        <f>SUM(I107:I115)</f>
        <v/>
      </c>
      <c r="J116" s="16">
        <f>SUM(J107:J115)</f>
        <v/>
      </c>
      <c r="K116" s="16">
        <f>SUM(K107:K115)</f>
        <v/>
      </c>
      <c r="L116" s="16">
        <f>SUM(L107:L115)</f>
        <v/>
      </c>
      <c r="M116" s="16">
        <f>SUM(M107:M115)</f>
        <v/>
      </c>
      <c r="N116" s="16">
        <f>SUM(N107:N115)</f>
        <v/>
      </c>
      <c r="O116" s="16">
        <f>SUM(O107:O115)</f>
        <v/>
      </c>
    </row>
    <row r="117"/>
    <row r="118" ht="18" customHeight="1">
      <c r="A118" s="21" t="inlineStr">
        <is>
          <t>GIVING</t>
        </is>
      </c>
      <c r="B118" s="22" t="n"/>
      <c r="C118" s="22" t="n"/>
      <c r="D118" s="22" t="n"/>
      <c r="E118" s="22" t="n"/>
      <c r="F118" s="22" t="n"/>
      <c r="G118" s="22" t="n"/>
      <c r="H118" s="22" t="n"/>
      <c r="I118" s="22" t="n"/>
      <c r="J118" s="22" t="n"/>
      <c r="K118" s="22" t="n"/>
      <c r="L118" s="22" t="n"/>
      <c r="M118" s="22" t="n"/>
      <c r="N118" s="22" t="n"/>
      <c r="O118" s="22" t="n"/>
    </row>
    <row r="119">
      <c r="A119" s="14" t="inlineStr">
        <is>
          <t>Giving</t>
        </is>
      </c>
      <c r="B119" s="14" t="inlineStr">
        <is>
          <t>Charitable Contributions</t>
        </is>
      </c>
      <c r="C119" s="7" t="n">
        <v>0</v>
      </c>
      <c r="D119" s="7" t="n">
        <v>0</v>
      </c>
      <c r="E119" s="7" t="n">
        <v>0</v>
      </c>
      <c r="F119" s="7" t="n">
        <v>0</v>
      </c>
      <c r="G119" s="7" t="n">
        <v>0</v>
      </c>
      <c r="H119" s="7" t="n">
        <v>0</v>
      </c>
      <c r="I119" s="7" t="n">
        <v>0</v>
      </c>
      <c r="J119" s="7" t="n">
        <v>0</v>
      </c>
      <c r="K119" s="7" t="n">
        <v>0</v>
      </c>
      <c r="L119" s="7" t="n">
        <v>0</v>
      </c>
      <c r="M119" s="7" t="n">
        <v>0</v>
      </c>
      <c r="N119" s="7" t="n">
        <v>0</v>
      </c>
      <c r="O119" s="7">
        <f>SUM(C119:N119)</f>
        <v/>
      </c>
    </row>
    <row r="120">
      <c r="A120" s="14" t="inlineStr">
        <is>
          <t>Giving</t>
        </is>
      </c>
      <c r="B120" s="14" t="inlineStr">
        <is>
          <t>Religious Giving / Tithings</t>
        </is>
      </c>
      <c r="C120" s="7" t="n">
        <v>0</v>
      </c>
      <c r="D120" s="7" t="n">
        <v>0</v>
      </c>
      <c r="E120" s="7" t="n">
        <v>0</v>
      </c>
      <c r="F120" s="7" t="n">
        <v>0</v>
      </c>
      <c r="G120" s="7" t="n">
        <v>0</v>
      </c>
      <c r="H120" s="7" t="n">
        <v>0</v>
      </c>
      <c r="I120" s="7" t="n">
        <v>0</v>
      </c>
      <c r="J120" s="7" t="n">
        <v>0</v>
      </c>
      <c r="K120" s="7" t="n">
        <v>0</v>
      </c>
      <c r="L120" s="7" t="n">
        <v>0</v>
      </c>
      <c r="M120" s="7" t="n">
        <v>0</v>
      </c>
      <c r="N120" s="7" t="n">
        <v>0</v>
      </c>
      <c r="O120" s="7">
        <f>SUM(C120:N120)</f>
        <v/>
      </c>
    </row>
    <row r="121">
      <c r="A121" s="14" t="inlineStr">
        <is>
          <t>Giving</t>
        </is>
      </c>
      <c r="B121" s="14" t="inlineStr">
        <is>
          <t>Other #1</t>
        </is>
      </c>
      <c r="C121" s="7" t="n">
        <v>0</v>
      </c>
      <c r="D121" s="7" t="n">
        <v>0</v>
      </c>
      <c r="E121" s="7" t="n">
        <v>0</v>
      </c>
      <c r="F121" s="7" t="n">
        <v>0</v>
      </c>
      <c r="G121" s="7" t="n">
        <v>0</v>
      </c>
      <c r="H121" s="7" t="n">
        <v>0</v>
      </c>
      <c r="I121" s="7" t="n">
        <v>0</v>
      </c>
      <c r="J121" s="7" t="n">
        <v>0</v>
      </c>
      <c r="K121" s="7" t="n">
        <v>0</v>
      </c>
      <c r="L121" s="7" t="n">
        <v>0</v>
      </c>
      <c r="M121" s="7" t="n">
        <v>0</v>
      </c>
      <c r="N121" s="7" t="n">
        <v>0</v>
      </c>
      <c r="O121" s="7">
        <f>SUM(C121:N121)</f>
        <v/>
      </c>
    </row>
    <row r="122">
      <c r="A122" s="14" t="inlineStr">
        <is>
          <t>Giving</t>
        </is>
      </c>
      <c r="B122" s="14" t="inlineStr">
        <is>
          <t>Other #2</t>
        </is>
      </c>
      <c r="C122" s="7" t="n">
        <v>0</v>
      </c>
      <c r="D122" s="7" t="n">
        <v>0</v>
      </c>
      <c r="E122" s="7" t="n">
        <v>0</v>
      </c>
      <c r="F122" s="7" t="n">
        <v>0</v>
      </c>
      <c r="G122" s="7" t="n">
        <v>0</v>
      </c>
      <c r="H122" s="7" t="n">
        <v>0</v>
      </c>
      <c r="I122" s="7" t="n">
        <v>0</v>
      </c>
      <c r="J122" s="7" t="n">
        <v>0</v>
      </c>
      <c r="K122" s="7" t="n">
        <v>0</v>
      </c>
      <c r="L122" s="7" t="n">
        <v>0</v>
      </c>
      <c r="M122" s="7" t="n">
        <v>0</v>
      </c>
      <c r="N122" s="7" t="n">
        <v>0</v>
      </c>
      <c r="O122" s="7">
        <f>SUM(C122:N122)</f>
        <v/>
      </c>
    </row>
    <row r="123">
      <c r="A123" s="14" t="inlineStr">
        <is>
          <t>Giving</t>
        </is>
      </c>
      <c r="B123" s="14" t="inlineStr">
        <is>
          <t>Other #3</t>
        </is>
      </c>
      <c r="C123" s="7" t="n">
        <v>0</v>
      </c>
      <c r="D123" s="7" t="n">
        <v>0</v>
      </c>
      <c r="E123" s="7" t="n">
        <v>0</v>
      </c>
      <c r="F123" s="7" t="n">
        <v>0</v>
      </c>
      <c r="G123" s="7" t="n">
        <v>0</v>
      </c>
      <c r="H123" s="7" t="n">
        <v>0</v>
      </c>
      <c r="I123" s="7" t="n">
        <v>0</v>
      </c>
      <c r="J123" s="7" t="n">
        <v>0</v>
      </c>
      <c r="K123" s="7" t="n">
        <v>0</v>
      </c>
      <c r="L123" s="7" t="n">
        <v>0</v>
      </c>
      <c r="M123" s="7" t="n">
        <v>0</v>
      </c>
      <c r="N123" s="7" t="n">
        <v>0</v>
      </c>
      <c r="O123" s="7">
        <f>SUM(C123:N123)</f>
        <v/>
      </c>
    </row>
    <row r="124">
      <c r="A124" s="14" t="inlineStr">
        <is>
          <t>Giving</t>
        </is>
      </c>
      <c r="B124" s="14" t="inlineStr">
        <is>
          <t>Other #4</t>
        </is>
      </c>
      <c r="C124" s="7" t="n">
        <v>0</v>
      </c>
      <c r="D124" s="7" t="n">
        <v>0</v>
      </c>
      <c r="E124" s="7" t="n">
        <v>0</v>
      </c>
      <c r="F124" s="7" t="n">
        <v>0</v>
      </c>
      <c r="G124" s="7" t="n">
        <v>0</v>
      </c>
      <c r="H124" s="7" t="n">
        <v>0</v>
      </c>
      <c r="I124" s="7" t="n">
        <v>0</v>
      </c>
      <c r="J124" s="7" t="n">
        <v>0</v>
      </c>
      <c r="K124" s="7" t="n">
        <v>0</v>
      </c>
      <c r="L124" s="7" t="n">
        <v>0</v>
      </c>
      <c r="M124" s="7" t="n">
        <v>0</v>
      </c>
      <c r="N124" s="7" t="n">
        <v>0</v>
      </c>
      <c r="O124" s="7">
        <f>SUM(C124:N124)</f>
        <v/>
      </c>
    </row>
    <row r="125">
      <c r="A125" s="14" t="inlineStr">
        <is>
          <t>Giving</t>
        </is>
      </c>
      <c r="B125" s="14" t="inlineStr">
        <is>
          <t>Other #5</t>
        </is>
      </c>
      <c r="C125" s="7" t="n">
        <v>0</v>
      </c>
      <c r="D125" s="7" t="n">
        <v>0</v>
      </c>
      <c r="E125" s="7" t="n">
        <v>0</v>
      </c>
      <c r="F125" s="7" t="n">
        <v>0</v>
      </c>
      <c r="G125" s="7" t="n">
        <v>0</v>
      </c>
      <c r="H125" s="7" t="n">
        <v>0</v>
      </c>
      <c r="I125" s="7" t="n">
        <v>0</v>
      </c>
      <c r="J125" s="7" t="n">
        <v>0</v>
      </c>
      <c r="K125" s="7" t="n">
        <v>0</v>
      </c>
      <c r="L125" s="7" t="n">
        <v>0</v>
      </c>
      <c r="M125" s="7" t="n">
        <v>0</v>
      </c>
      <c r="N125" s="7" t="n">
        <v>0</v>
      </c>
      <c r="O125" s="7">
        <f>SUM(C125:N125)</f>
        <v/>
      </c>
    </row>
    <row r="126">
      <c r="A126" s="15" t="inlineStr">
        <is>
          <t>Giving - Monthly Total</t>
        </is>
      </c>
      <c r="B126" s="15" t="inlineStr"/>
      <c r="C126" s="16">
        <f>SUM(C119:C125)</f>
        <v/>
      </c>
      <c r="D126" s="16">
        <f>SUM(D119:D125)</f>
        <v/>
      </c>
      <c r="E126" s="16">
        <f>SUM(E119:E125)</f>
        <v/>
      </c>
      <c r="F126" s="16">
        <f>SUM(F119:F125)</f>
        <v/>
      </c>
      <c r="G126" s="16">
        <f>SUM(G119:G125)</f>
        <v/>
      </c>
      <c r="H126" s="16">
        <f>SUM(H119:H125)</f>
        <v/>
      </c>
      <c r="I126" s="16">
        <f>SUM(I119:I125)</f>
        <v/>
      </c>
      <c r="J126" s="16">
        <f>SUM(J119:J125)</f>
        <v/>
      </c>
      <c r="K126" s="16">
        <f>SUM(K119:K125)</f>
        <v/>
      </c>
      <c r="L126" s="16">
        <f>SUM(L119:L125)</f>
        <v/>
      </c>
      <c r="M126" s="16">
        <f>SUM(M119:M125)</f>
        <v/>
      </c>
      <c r="N126" s="16">
        <f>SUM(N119:N125)</f>
        <v/>
      </c>
      <c r="O126" s="16">
        <f>SUM(O119:O125)</f>
        <v/>
      </c>
    </row>
    <row r="127"/>
    <row r="128" ht="18" customHeight="1">
      <c r="A128" s="21" t="inlineStr">
        <is>
          <t>DEBT PAYMENTS</t>
        </is>
      </c>
      <c r="B128" s="22" t="n"/>
      <c r="C128" s="22" t="n"/>
      <c r="D128" s="22" t="n"/>
      <c r="E128" s="22" t="n"/>
      <c r="F128" s="22" t="n"/>
      <c r="G128" s="22" t="n"/>
      <c r="H128" s="22" t="n"/>
      <c r="I128" s="22" t="n"/>
      <c r="J128" s="22" t="n"/>
      <c r="K128" s="22" t="n"/>
      <c r="L128" s="22" t="n"/>
      <c r="M128" s="22" t="n"/>
      <c r="N128" s="22" t="n"/>
      <c r="O128" s="22" t="n"/>
    </row>
    <row r="129">
      <c r="A129" s="14" t="inlineStr">
        <is>
          <t>Debt Payments</t>
        </is>
      </c>
      <c r="B129" s="14" t="inlineStr">
        <is>
          <t>Total Debt Payments (from Debts tab)</t>
        </is>
      </c>
      <c r="C129" s="7">
        <f>IFERROR(SUMIF(Debts!$H$5:$H$54,TRUE,Debts!$G$5:$G$54),0)</f>
        <v/>
      </c>
      <c r="D129" s="7">
        <f>IFERROR(SUMIF(Debts!$H$5:$H$54,TRUE,Debts!$G$5:$G$54),0)</f>
        <v/>
      </c>
      <c r="E129" s="7">
        <f>IFERROR(SUMIF(Debts!$H$5:$H$54,TRUE,Debts!$G$5:$G$54),0)</f>
        <v/>
      </c>
      <c r="F129" s="7">
        <f>IFERROR(SUMIF(Debts!$H$5:$H$54,TRUE,Debts!$G$5:$G$54),0)</f>
        <v/>
      </c>
      <c r="G129" s="7">
        <f>IFERROR(SUMIF(Debts!$H$5:$H$54,TRUE,Debts!$G$5:$G$54),0)</f>
        <v/>
      </c>
      <c r="H129" s="7">
        <f>IFERROR(SUMIF(Debts!$H$5:$H$54,TRUE,Debts!$G$5:$G$54),0)</f>
        <v/>
      </c>
      <c r="I129" s="7">
        <f>IFERROR(SUMIF(Debts!$H$5:$H$54,TRUE,Debts!$G$5:$G$54),0)</f>
        <v/>
      </c>
      <c r="J129" s="7">
        <f>IFERROR(SUMIF(Debts!$H$5:$H$54,TRUE,Debts!$G$5:$G$54),0)</f>
        <v/>
      </c>
      <c r="K129" s="7">
        <f>IFERROR(SUMIF(Debts!$H$5:$H$54,TRUE,Debts!$G$5:$G$54),0)</f>
        <v/>
      </c>
      <c r="L129" s="7">
        <f>IFERROR(SUMIF(Debts!$H$5:$H$54,TRUE,Debts!$G$5:$G$54),0)</f>
        <v/>
      </c>
      <c r="M129" s="7">
        <f>IFERROR(SUMIF(Debts!$H$5:$H$54,TRUE,Debts!$G$5:$G$54),0)</f>
        <v/>
      </c>
      <c r="N129" s="7">
        <f>IFERROR(SUMIF(Debts!$H$5:$H$54,TRUE,Debts!$G$5:$G$54),0)</f>
        <v/>
      </c>
      <c r="O129" s="7">
        <f>SUM(C129:N129)</f>
        <v/>
      </c>
    </row>
    <row r="130">
      <c r="A130" s="15" t="inlineStr">
        <is>
          <t>Debt Payments - Monthly Total</t>
        </is>
      </c>
      <c r="B130" s="15" t="inlineStr"/>
      <c r="C130" s="16">
        <f>SUM(C129:C129)</f>
        <v/>
      </c>
      <c r="D130" s="16">
        <f>SUM(D129:D129)</f>
        <v/>
      </c>
      <c r="E130" s="16">
        <f>SUM(E129:E129)</f>
        <v/>
      </c>
      <c r="F130" s="16">
        <f>SUM(F129:F129)</f>
        <v/>
      </c>
      <c r="G130" s="16">
        <f>SUM(G129:G129)</f>
        <v/>
      </c>
      <c r="H130" s="16">
        <f>SUM(H129:H129)</f>
        <v/>
      </c>
      <c r="I130" s="16">
        <f>SUM(I129:I129)</f>
        <v/>
      </c>
      <c r="J130" s="16">
        <f>SUM(J129:J129)</f>
        <v/>
      </c>
      <c r="K130" s="16">
        <f>SUM(K129:K129)</f>
        <v/>
      </c>
      <c r="L130" s="16">
        <f>SUM(L129:L129)</f>
        <v/>
      </c>
      <c r="M130" s="16">
        <f>SUM(M129:M129)</f>
        <v/>
      </c>
      <c r="N130" s="16">
        <f>SUM(N129:N129)</f>
        <v/>
      </c>
      <c r="O130" s="16">
        <f>SUM(O129:O129)</f>
        <v/>
      </c>
    </row>
    <row r="131"/>
    <row r="132" ht="18" customHeight="1">
      <c r="A132" s="21" t="inlineStr">
        <is>
          <t>MISC / OTHER</t>
        </is>
      </c>
      <c r="B132" s="22" t="n"/>
      <c r="C132" s="22" t="n"/>
      <c r="D132" s="22" t="n"/>
      <c r="E132" s="22" t="n"/>
      <c r="F132" s="22" t="n"/>
      <c r="G132" s="22" t="n"/>
      <c r="H132" s="22" t="n"/>
      <c r="I132" s="22" t="n"/>
      <c r="J132" s="22" t="n"/>
      <c r="K132" s="22" t="n"/>
      <c r="L132" s="22" t="n"/>
      <c r="M132" s="22" t="n"/>
      <c r="N132" s="22" t="n"/>
      <c r="O132" s="22" t="n"/>
    </row>
    <row r="133">
      <c r="A133" s="14" t="inlineStr">
        <is>
          <t>Misc / Other</t>
        </is>
      </c>
      <c r="B133" s="14" t="inlineStr">
        <is>
          <t>Miscellaneous Expenses</t>
        </is>
      </c>
      <c r="C133" s="7" t="n">
        <v>0</v>
      </c>
      <c r="D133" s="7" t="n">
        <v>0</v>
      </c>
      <c r="E133" s="7" t="n">
        <v>0</v>
      </c>
      <c r="F133" s="7" t="n">
        <v>0</v>
      </c>
      <c r="G133" s="7" t="n">
        <v>0</v>
      </c>
      <c r="H133" s="7" t="n">
        <v>0</v>
      </c>
      <c r="I133" s="7" t="n">
        <v>0</v>
      </c>
      <c r="J133" s="7" t="n">
        <v>0</v>
      </c>
      <c r="K133" s="7" t="n">
        <v>0</v>
      </c>
      <c r="L133" s="7" t="n">
        <v>0</v>
      </c>
      <c r="M133" s="7" t="n">
        <v>0</v>
      </c>
      <c r="N133" s="7" t="n">
        <v>0</v>
      </c>
      <c r="O133" s="7">
        <f>SUM(C133:N133)</f>
        <v/>
      </c>
    </row>
    <row r="134">
      <c r="A134" s="14" t="inlineStr">
        <is>
          <t>Misc / Other</t>
        </is>
      </c>
      <c r="B134" s="14" t="inlineStr">
        <is>
          <t>Other #1</t>
        </is>
      </c>
      <c r="C134" s="7" t="n">
        <v>0</v>
      </c>
      <c r="D134" s="7" t="n">
        <v>0</v>
      </c>
      <c r="E134" s="7" t="n">
        <v>0</v>
      </c>
      <c r="F134" s="7" t="n">
        <v>0</v>
      </c>
      <c r="G134" s="7" t="n">
        <v>0</v>
      </c>
      <c r="H134" s="7" t="n">
        <v>0</v>
      </c>
      <c r="I134" s="7" t="n">
        <v>0</v>
      </c>
      <c r="J134" s="7" t="n">
        <v>0</v>
      </c>
      <c r="K134" s="7" t="n">
        <v>0</v>
      </c>
      <c r="L134" s="7" t="n">
        <v>0</v>
      </c>
      <c r="M134" s="7" t="n">
        <v>0</v>
      </c>
      <c r="N134" s="7" t="n">
        <v>0</v>
      </c>
      <c r="O134" s="7">
        <f>SUM(C134:N134)</f>
        <v/>
      </c>
    </row>
    <row r="135">
      <c r="A135" s="14" t="inlineStr">
        <is>
          <t>Misc / Other</t>
        </is>
      </c>
      <c r="B135" s="14" t="inlineStr">
        <is>
          <t>Other #2</t>
        </is>
      </c>
      <c r="C135" s="7" t="n">
        <v>0</v>
      </c>
      <c r="D135" s="7" t="n">
        <v>0</v>
      </c>
      <c r="E135" s="7" t="n">
        <v>0</v>
      </c>
      <c r="F135" s="7" t="n">
        <v>0</v>
      </c>
      <c r="G135" s="7" t="n">
        <v>0</v>
      </c>
      <c r="H135" s="7" t="n">
        <v>0</v>
      </c>
      <c r="I135" s="7" t="n">
        <v>0</v>
      </c>
      <c r="J135" s="7" t="n">
        <v>0</v>
      </c>
      <c r="K135" s="7" t="n">
        <v>0</v>
      </c>
      <c r="L135" s="7" t="n">
        <v>0</v>
      </c>
      <c r="M135" s="7" t="n">
        <v>0</v>
      </c>
      <c r="N135" s="7" t="n">
        <v>0</v>
      </c>
      <c r="O135" s="7">
        <f>SUM(C135:N135)</f>
        <v/>
      </c>
    </row>
    <row r="136">
      <c r="A136" s="14" t="inlineStr">
        <is>
          <t>Misc / Other</t>
        </is>
      </c>
      <c r="B136" s="14" t="inlineStr">
        <is>
          <t>Other #3</t>
        </is>
      </c>
      <c r="C136" s="7" t="n">
        <v>0</v>
      </c>
      <c r="D136" s="7" t="n">
        <v>0</v>
      </c>
      <c r="E136" s="7" t="n">
        <v>0</v>
      </c>
      <c r="F136" s="7" t="n">
        <v>0</v>
      </c>
      <c r="G136" s="7" t="n">
        <v>0</v>
      </c>
      <c r="H136" s="7" t="n">
        <v>0</v>
      </c>
      <c r="I136" s="7" t="n">
        <v>0</v>
      </c>
      <c r="J136" s="7" t="n">
        <v>0</v>
      </c>
      <c r="K136" s="7" t="n">
        <v>0</v>
      </c>
      <c r="L136" s="7" t="n">
        <v>0</v>
      </c>
      <c r="M136" s="7" t="n">
        <v>0</v>
      </c>
      <c r="N136" s="7" t="n">
        <v>0</v>
      </c>
      <c r="O136" s="7">
        <f>SUM(C136:N136)</f>
        <v/>
      </c>
    </row>
    <row r="137">
      <c r="A137" s="14" t="inlineStr">
        <is>
          <t>Misc / Other</t>
        </is>
      </c>
      <c r="B137" s="14" t="inlineStr">
        <is>
          <t>Other #4</t>
        </is>
      </c>
      <c r="C137" s="7" t="n">
        <v>0</v>
      </c>
      <c r="D137" s="7" t="n">
        <v>0</v>
      </c>
      <c r="E137" s="7" t="n">
        <v>0</v>
      </c>
      <c r="F137" s="7" t="n">
        <v>0</v>
      </c>
      <c r="G137" s="7" t="n">
        <v>0</v>
      </c>
      <c r="H137" s="7" t="n">
        <v>0</v>
      </c>
      <c r="I137" s="7" t="n">
        <v>0</v>
      </c>
      <c r="J137" s="7" t="n">
        <v>0</v>
      </c>
      <c r="K137" s="7" t="n">
        <v>0</v>
      </c>
      <c r="L137" s="7" t="n">
        <v>0</v>
      </c>
      <c r="M137" s="7" t="n">
        <v>0</v>
      </c>
      <c r="N137" s="7" t="n">
        <v>0</v>
      </c>
      <c r="O137" s="7">
        <f>SUM(C137:N137)</f>
        <v/>
      </c>
    </row>
    <row r="138">
      <c r="A138" s="14" t="inlineStr">
        <is>
          <t>Misc / Other</t>
        </is>
      </c>
      <c r="B138" s="14" t="inlineStr">
        <is>
          <t>Other #5</t>
        </is>
      </c>
      <c r="C138" s="7" t="n">
        <v>0</v>
      </c>
      <c r="D138" s="7" t="n">
        <v>0</v>
      </c>
      <c r="E138" s="7" t="n">
        <v>0</v>
      </c>
      <c r="F138" s="7" t="n">
        <v>0</v>
      </c>
      <c r="G138" s="7" t="n">
        <v>0</v>
      </c>
      <c r="H138" s="7" t="n">
        <v>0</v>
      </c>
      <c r="I138" s="7" t="n">
        <v>0</v>
      </c>
      <c r="J138" s="7" t="n">
        <v>0</v>
      </c>
      <c r="K138" s="7" t="n">
        <v>0</v>
      </c>
      <c r="L138" s="7" t="n">
        <v>0</v>
      </c>
      <c r="M138" s="7" t="n">
        <v>0</v>
      </c>
      <c r="N138" s="7" t="n">
        <v>0</v>
      </c>
      <c r="O138" s="7">
        <f>SUM(C138:N138)</f>
        <v/>
      </c>
    </row>
    <row r="139">
      <c r="A139" s="15" t="inlineStr">
        <is>
          <t>Misc / Other - Monthly Total</t>
        </is>
      </c>
      <c r="B139" s="15" t="inlineStr"/>
      <c r="C139" s="16">
        <f>SUM(C133:C138)</f>
        <v/>
      </c>
      <c r="D139" s="16">
        <f>SUM(D133:D138)</f>
        <v/>
      </c>
      <c r="E139" s="16">
        <f>SUM(E133:E138)</f>
        <v/>
      </c>
      <c r="F139" s="16">
        <f>SUM(F133:F138)</f>
        <v/>
      </c>
      <c r="G139" s="16">
        <f>SUM(G133:G138)</f>
        <v/>
      </c>
      <c r="H139" s="16">
        <f>SUM(H133:H138)</f>
        <v/>
      </c>
      <c r="I139" s="16">
        <f>SUM(I133:I138)</f>
        <v/>
      </c>
      <c r="J139" s="16">
        <f>SUM(J133:J138)</f>
        <v/>
      </c>
      <c r="K139" s="16">
        <f>SUM(K133:K138)</f>
        <v/>
      </c>
      <c r="L139" s="16">
        <f>SUM(L133:L138)</f>
        <v/>
      </c>
      <c r="M139" s="16">
        <f>SUM(M133:M138)</f>
        <v/>
      </c>
      <c r="N139" s="16">
        <f>SUM(N133:N138)</f>
        <v/>
      </c>
      <c r="O139" s="16">
        <f>SUM(O133:O138)</f>
        <v/>
      </c>
    </row>
    <row r="140"/>
    <row r="141" ht="18" customHeight="1">
      <c r="A141" s="21" t="inlineStr">
        <is>
          <t>CUSTOM EXPENSES (RENAME ITEMS AS NEEDED)</t>
        </is>
      </c>
      <c r="B141" s="22" t="n"/>
      <c r="C141" s="22" t="n"/>
      <c r="D141" s="22" t="n"/>
      <c r="E141" s="22" t="n"/>
      <c r="F141" s="22" t="n"/>
      <c r="G141" s="22" t="n"/>
      <c r="H141" s="22" t="n"/>
      <c r="I141" s="22" t="n"/>
      <c r="J141" s="22" t="n"/>
      <c r="K141" s="22" t="n"/>
      <c r="L141" s="22" t="n"/>
      <c r="M141" s="22" t="n"/>
      <c r="N141" s="22" t="n"/>
      <c r="O141" s="22" t="n"/>
    </row>
    <row r="142">
      <c r="A142" s="14" t="inlineStr">
        <is>
          <t>Custom Expenses (Rename items as needed)</t>
        </is>
      </c>
      <c r="B142" s="14" t="inlineStr">
        <is>
          <t>Custom #1</t>
        </is>
      </c>
      <c r="C142" s="7" t="n">
        <v>0</v>
      </c>
      <c r="D142" s="7" t="n">
        <v>0</v>
      </c>
      <c r="E142" s="7" t="n">
        <v>0</v>
      </c>
      <c r="F142" s="7" t="n">
        <v>0</v>
      </c>
      <c r="G142" s="7" t="n">
        <v>0</v>
      </c>
      <c r="H142" s="7" t="n">
        <v>0</v>
      </c>
      <c r="I142" s="7" t="n">
        <v>0</v>
      </c>
      <c r="J142" s="7" t="n">
        <v>0</v>
      </c>
      <c r="K142" s="7" t="n">
        <v>0</v>
      </c>
      <c r="L142" s="7" t="n">
        <v>0</v>
      </c>
      <c r="M142" s="7" t="n">
        <v>0</v>
      </c>
      <c r="N142" s="7" t="n">
        <v>0</v>
      </c>
      <c r="O142" s="7">
        <f>SUM(C142:N142)</f>
        <v/>
      </c>
    </row>
    <row r="143">
      <c r="A143" s="14" t="inlineStr">
        <is>
          <t>Custom Expenses (Rename items as needed)</t>
        </is>
      </c>
      <c r="B143" s="14" t="inlineStr">
        <is>
          <t>Custom #2</t>
        </is>
      </c>
      <c r="C143" s="7" t="n">
        <v>0</v>
      </c>
      <c r="D143" s="7" t="n">
        <v>0</v>
      </c>
      <c r="E143" s="7" t="n">
        <v>0</v>
      </c>
      <c r="F143" s="7" t="n">
        <v>0</v>
      </c>
      <c r="G143" s="7" t="n">
        <v>0</v>
      </c>
      <c r="H143" s="7" t="n">
        <v>0</v>
      </c>
      <c r="I143" s="7" t="n">
        <v>0</v>
      </c>
      <c r="J143" s="7" t="n">
        <v>0</v>
      </c>
      <c r="K143" s="7" t="n">
        <v>0</v>
      </c>
      <c r="L143" s="7" t="n">
        <v>0</v>
      </c>
      <c r="M143" s="7" t="n">
        <v>0</v>
      </c>
      <c r="N143" s="7" t="n">
        <v>0</v>
      </c>
      <c r="O143" s="7">
        <f>SUM(C143:N143)</f>
        <v/>
      </c>
    </row>
    <row r="144">
      <c r="A144" s="14" t="inlineStr">
        <is>
          <t>Custom Expenses (Rename items as needed)</t>
        </is>
      </c>
      <c r="B144" s="14" t="inlineStr">
        <is>
          <t>Custom #3</t>
        </is>
      </c>
      <c r="C144" s="7" t="n">
        <v>0</v>
      </c>
      <c r="D144" s="7" t="n">
        <v>0</v>
      </c>
      <c r="E144" s="7" t="n">
        <v>0</v>
      </c>
      <c r="F144" s="7" t="n">
        <v>0</v>
      </c>
      <c r="G144" s="7" t="n">
        <v>0</v>
      </c>
      <c r="H144" s="7" t="n">
        <v>0</v>
      </c>
      <c r="I144" s="7" t="n">
        <v>0</v>
      </c>
      <c r="J144" s="7" t="n">
        <v>0</v>
      </c>
      <c r="K144" s="7" t="n">
        <v>0</v>
      </c>
      <c r="L144" s="7" t="n">
        <v>0</v>
      </c>
      <c r="M144" s="7" t="n">
        <v>0</v>
      </c>
      <c r="N144" s="7" t="n">
        <v>0</v>
      </c>
      <c r="O144" s="7">
        <f>SUM(C144:N144)</f>
        <v/>
      </c>
    </row>
    <row r="145">
      <c r="A145" s="14" t="inlineStr">
        <is>
          <t>Custom Expenses (Rename items as needed)</t>
        </is>
      </c>
      <c r="B145" s="14" t="inlineStr">
        <is>
          <t>Custom #4</t>
        </is>
      </c>
      <c r="C145" s="7" t="n">
        <v>0</v>
      </c>
      <c r="D145" s="7" t="n">
        <v>0</v>
      </c>
      <c r="E145" s="7" t="n">
        <v>0</v>
      </c>
      <c r="F145" s="7" t="n">
        <v>0</v>
      </c>
      <c r="G145" s="7" t="n">
        <v>0</v>
      </c>
      <c r="H145" s="7" t="n">
        <v>0</v>
      </c>
      <c r="I145" s="7" t="n">
        <v>0</v>
      </c>
      <c r="J145" s="7" t="n">
        <v>0</v>
      </c>
      <c r="K145" s="7" t="n">
        <v>0</v>
      </c>
      <c r="L145" s="7" t="n">
        <v>0</v>
      </c>
      <c r="M145" s="7" t="n">
        <v>0</v>
      </c>
      <c r="N145" s="7" t="n">
        <v>0</v>
      </c>
      <c r="O145" s="7">
        <f>SUM(C145:N145)</f>
        <v/>
      </c>
    </row>
    <row r="146">
      <c r="A146" s="14" t="inlineStr">
        <is>
          <t>Custom Expenses (Rename items as needed)</t>
        </is>
      </c>
      <c r="B146" s="14" t="inlineStr">
        <is>
          <t>Custom #5</t>
        </is>
      </c>
      <c r="C146" s="7" t="n">
        <v>0</v>
      </c>
      <c r="D146" s="7" t="n">
        <v>0</v>
      </c>
      <c r="E146" s="7" t="n">
        <v>0</v>
      </c>
      <c r="F146" s="7" t="n">
        <v>0</v>
      </c>
      <c r="G146" s="7" t="n">
        <v>0</v>
      </c>
      <c r="H146" s="7" t="n">
        <v>0</v>
      </c>
      <c r="I146" s="7" t="n">
        <v>0</v>
      </c>
      <c r="J146" s="7" t="n">
        <v>0</v>
      </c>
      <c r="K146" s="7" t="n">
        <v>0</v>
      </c>
      <c r="L146" s="7" t="n">
        <v>0</v>
      </c>
      <c r="M146" s="7" t="n">
        <v>0</v>
      </c>
      <c r="N146" s="7" t="n">
        <v>0</v>
      </c>
      <c r="O146" s="7">
        <f>SUM(C146:N146)</f>
        <v/>
      </c>
    </row>
    <row r="147">
      <c r="A147" s="14" t="inlineStr">
        <is>
          <t>Custom Expenses (Rename items as needed)</t>
        </is>
      </c>
      <c r="B147" s="14" t="inlineStr">
        <is>
          <t>Custom #6</t>
        </is>
      </c>
      <c r="C147" s="7" t="n">
        <v>0</v>
      </c>
      <c r="D147" s="7" t="n">
        <v>0</v>
      </c>
      <c r="E147" s="7" t="n">
        <v>0</v>
      </c>
      <c r="F147" s="7" t="n">
        <v>0</v>
      </c>
      <c r="G147" s="7" t="n">
        <v>0</v>
      </c>
      <c r="H147" s="7" t="n">
        <v>0</v>
      </c>
      <c r="I147" s="7" t="n">
        <v>0</v>
      </c>
      <c r="J147" s="7" t="n">
        <v>0</v>
      </c>
      <c r="K147" s="7" t="n">
        <v>0</v>
      </c>
      <c r="L147" s="7" t="n">
        <v>0</v>
      </c>
      <c r="M147" s="7" t="n">
        <v>0</v>
      </c>
      <c r="N147" s="7" t="n">
        <v>0</v>
      </c>
      <c r="O147" s="7">
        <f>SUM(C147:N147)</f>
        <v/>
      </c>
    </row>
    <row r="148">
      <c r="A148" s="14" t="inlineStr">
        <is>
          <t>Custom Expenses (Rename items as needed)</t>
        </is>
      </c>
      <c r="B148" s="14" t="inlineStr">
        <is>
          <t>Custom #7</t>
        </is>
      </c>
      <c r="C148" s="7" t="n">
        <v>0</v>
      </c>
      <c r="D148" s="7" t="n">
        <v>0</v>
      </c>
      <c r="E148" s="7" t="n">
        <v>0</v>
      </c>
      <c r="F148" s="7" t="n">
        <v>0</v>
      </c>
      <c r="G148" s="7" t="n">
        <v>0</v>
      </c>
      <c r="H148" s="7" t="n">
        <v>0</v>
      </c>
      <c r="I148" s="7" t="n">
        <v>0</v>
      </c>
      <c r="J148" s="7" t="n">
        <v>0</v>
      </c>
      <c r="K148" s="7" t="n">
        <v>0</v>
      </c>
      <c r="L148" s="7" t="n">
        <v>0</v>
      </c>
      <c r="M148" s="7" t="n">
        <v>0</v>
      </c>
      <c r="N148" s="7" t="n">
        <v>0</v>
      </c>
      <c r="O148" s="7">
        <f>SUM(C148:N148)</f>
        <v/>
      </c>
    </row>
    <row r="149">
      <c r="A149" s="14" t="inlineStr">
        <is>
          <t>Custom Expenses (Rename items as needed)</t>
        </is>
      </c>
      <c r="B149" s="14" t="inlineStr">
        <is>
          <t>Custom #8</t>
        </is>
      </c>
      <c r="C149" s="7" t="n">
        <v>0</v>
      </c>
      <c r="D149" s="7" t="n">
        <v>0</v>
      </c>
      <c r="E149" s="7" t="n">
        <v>0</v>
      </c>
      <c r="F149" s="7" t="n">
        <v>0</v>
      </c>
      <c r="G149" s="7" t="n">
        <v>0</v>
      </c>
      <c r="H149" s="7" t="n">
        <v>0</v>
      </c>
      <c r="I149" s="7" t="n">
        <v>0</v>
      </c>
      <c r="J149" s="7" t="n">
        <v>0</v>
      </c>
      <c r="K149" s="7" t="n">
        <v>0</v>
      </c>
      <c r="L149" s="7" t="n">
        <v>0</v>
      </c>
      <c r="M149" s="7" t="n">
        <v>0</v>
      </c>
      <c r="N149" s="7" t="n">
        <v>0</v>
      </c>
      <c r="O149" s="7">
        <f>SUM(C149:N149)</f>
        <v/>
      </c>
    </row>
    <row r="150">
      <c r="A150" s="14" t="inlineStr">
        <is>
          <t>Custom Expenses (Rename items as needed)</t>
        </is>
      </c>
      <c r="B150" s="14" t="inlineStr">
        <is>
          <t>Custom #9</t>
        </is>
      </c>
      <c r="C150" s="7" t="n">
        <v>0</v>
      </c>
      <c r="D150" s="7" t="n">
        <v>0</v>
      </c>
      <c r="E150" s="7" t="n">
        <v>0</v>
      </c>
      <c r="F150" s="7" t="n">
        <v>0</v>
      </c>
      <c r="G150" s="7" t="n">
        <v>0</v>
      </c>
      <c r="H150" s="7" t="n">
        <v>0</v>
      </c>
      <c r="I150" s="7" t="n">
        <v>0</v>
      </c>
      <c r="J150" s="7" t="n">
        <v>0</v>
      </c>
      <c r="K150" s="7" t="n">
        <v>0</v>
      </c>
      <c r="L150" s="7" t="n">
        <v>0</v>
      </c>
      <c r="M150" s="7" t="n">
        <v>0</v>
      </c>
      <c r="N150" s="7" t="n">
        <v>0</v>
      </c>
      <c r="O150" s="7">
        <f>SUM(C150:N150)</f>
        <v/>
      </c>
    </row>
    <row r="151">
      <c r="A151" s="14" t="inlineStr">
        <is>
          <t>Custom Expenses (Rename items as needed)</t>
        </is>
      </c>
      <c r="B151" s="14" t="inlineStr">
        <is>
          <t>Custom #10</t>
        </is>
      </c>
      <c r="C151" s="7" t="n">
        <v>0</v>
      </c>
      <c r="D151" s="7" t="n">
        <v>0</v>
      </c>
      <c r="E151" s="7" t="n">
        <v>0</v>
      </c>
      <c r="F151" s="7" t="n">
        <v>0</v>
      </c>
      <c r="G151" s="7" t="n">
        <v>0</v>
      </c>
      <c r="H151" s="7" t="n">
        <v>0</v>
      </c>
      <c r="I151" s="7" t="n">
        <v>0</v>
      </c>
      <c r="J151" s="7" t="n">
        <v>0</v>
      </c>
      <c r="K151" s="7" t="n">
        <v>0</v>
      </c>
      <c r="L151" s="7" t="n">
        <v>0</v>
      </c>
      <c r="M151" s="7" t="n">
        <v>0</v>
      </c>
      <c r="N151" s="7" t="n">
        <v>0</v>
      </c>
      <c r="O151" s="7">
        <f>SUM(C151:N151)</f>
        <v/>
      </c>
    </row>
    <row r="152">
      <c r="A152" s="15" t="inlineStr">
        <is>
          <t>Custom Expenses (Rename items as needed) - Monthly Total</t>
        </is>
      </c>
      <c r="B152" s="15" t="inlineStr"/>
      <c r="C152" s="16">
        <f>SUM(C142:C151)</f>
        <v/>
      </c>
      <c r="D152" s="16">
        <f>SUM(D142:D151)</f>
        <v/>
      </c>
      <c r="E152" s="16">
        <f>SUM(E142:E151)</f>
        <v/>
      </c>
      <c r="F152" s="16">
        <f>SUM(F142:F151)</f>
        <v/>
      </c>
      <c r="G152" s="16">
        <f>SUM(G142:G151)</f>
        <v/>
      </c>
      <c r="H152" s="16">
        <f>SUM(H142:H151)</f>
        <v/>
      </c>
      <c r="I152" s="16">
        <f>SUM(I142:I151)</f>
        <v/>
      </c>
      <c r="J152" s="16">
        <f>SUM(J142:J151)</f>
        <v/>
      </c>
      <c r="K152" s="16">
        <f>SUM(K142:K151)</f>
        <v/>
      </c>
      <c r="L152" s="16">
        <f>SUM(L142:L151)</f>
        <v/>
      </c>
      <c r="M152" s="16">
        <f>SUM(M142:M151)</f>
        <v/>
      </c>
      <c r="N152" s="16">
        <f>SUM(N142:N151)</f>
        <v/>
      </c>
      <c r="O152" s="16">
        <f>SUM(O142:O151)</f>
        <v/>
      </c>
    </row>
    <row r="153"/>
    <row r="154">
      <c r="A154" s="23" t="inlineStr">
        <is>
          <t>Expenses - Monthly Total</t>
        </is>
      </c>
      <c r="B154" s="23" t="inlineStr"/>
      <c r="C154" s="24">
        <f>C54+C67+C79+C92+C104+C116+C126+C130+C139+C152</f>
        <v/>
      </c>
      <c r="D154" s="24">
        <f>D54+D67+D79+D92+D104+D116+D126+D130+D139+D152</f>
        <v/>
      </c>
      <c r="E154" s="24">
        <f>E54+E67+E79+E92+E104+E116+E126+E130+E139+E152</f>
        <v/>
      </c>
      <c r="F154" s="24">
        <f>F54+F67+F79+F92+F104+F116+F126+F130+F139+F152</f>
        <v/>
      </c>
      <c r="G154" s="24">
        <f>G54+G67+G79+G92+G104+G116+G126+G130+G139+G152</f>
        <v/>
      </c>
      <c r="H154" s="24">
        <f>H54+H67+H79+H92+H104+H116+H126+H130+H139+H152</f>
        <v/>
      </c>
      <c r="I154" s="24">
        <f>I54+I67+I79+I92+I104+I116+I126+I130+I139+I152</f>
        <v/>
      </c>
      <c r="J154" s="24">
        <f>J54+J67+J79+J92+J104+J116+J126+J130+J139+J152</f>
        <v/>
      </c>
      <c r="K154" s="24">
        <f>K54+K67+K79+K92+K104+K116+K126+K130+K139+K152</f>
        <v/>
      </c>
      <c r="L154" s="24">
        <f>L54+L67+L79+L92+L104+L116+L126+L130+L139+L152</f>
        <v/>
      </c>
      <c r="M154" s="24">
        <f>M54+M67+M79+M92+M104+M116+M126+M130+M139+M152</f>
        <v/>
      </c>
      <c r="N154" s="24">
        <f>N54+N67+N79+N92+N104+N116+N126+N130+N139+N152</f>
        <v/>
      </c>
      <c r="O154" s="24">
        <f>O54+O67+O79+O92+O104+O116+O126+O130+O139+O152</f>
        <v/>
      </c>
    </row>
    <row r="155"/>
    <row r="156">
      <c r="A156" s="25" t="inlineStr">
        <is>
          <t>Net Cash Flow (Income - Savings - Expenses)</t>
        </is>
      </c>
      <c r="B156" s="26" t="n"/>
      <c r="C156" s="27">
        <f>C21-C39-C154</f>
        <v/>
      </c>
      <c r="D156" s="27">
        <f>D21-D39-D154</f>
        <v/>
      </c>
      <c r="E156" s="27">
        <f>E21-E39-E154</f>
        <v/>
      </c>
      <c r="F156" s="27">
        <f>F21-F39-F154</f>
        <v/>
      </c>
      <c r="G156" s="27">
        <f>G21-G39-G154</f>
        <v/>
      </c>
      <c r="H156" s="27">
        <f>H21-H39-H154</f>
        <v/>
      </c>
      <c r="I156" s="27">
        <f>I21-I39-I154</f>
        <v/>
      </c>
      <c r="J156" s="27">
        <f>J21-J39-J154</f>
        <v/>
      </c>
      <c r="K156" s="27">
        <f>K21-K39-K154</f>
        <v/>
      </c>
      <c r="L156" s="27">
        <f>L21-L39-L154</f>
        <v/>
      </c>
      <c r="M156" s="27">
        <f>M21-M39-M154</f>
        <v/>
      </c>
      <c r="N156" s="27">
        <f>N21-N39-N154</f>
        <v/>
      </c>
      <c r="O156" s="27">
        <f>O21-O39-O154</f>
        <v/>
      </c>
    </row>
  </sheetData>
  <mergeCells count="16">
    <mergeCell ref="D2:O2"/>
    <mergeCell ref="A81:B81"/>
    <mergeCell ref="A41:B41"/>
    <mergeCell ref="A128:B128"/>
    <mergeCell ref="A5:B5"/>
    <mergeCell ref="A42:B42"/>
    <mergeCell ref="A1:O1"/>
    <mergeCell ref="A141:B141"/>
    <mergeCell ref="A94:B94"/>
    <mergeCell ref="A23:B23"/>
    <mergeCell ref="A56:B56"/>
    <mergeCell ref="A118:B118"/>
    <mergeCell ref="A106:B106"/>
    <mergeCell ref="A132:B132"/>
    <mergeCell ref="A3:O3"/>
    <mergeCell ref="A69:B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1"/>
  <sheetViews>
    <sheetView workbookViewId="0">
      <pane ySplit="4" topLeftCell="A5" activePane="bottomLeft" state="frozen"/>
      <selection pane="bottomLeft" activeCell="A1" sqref="A1"/>
    </sheetView>
  </sheetViews>
  <sheetFormatPr baseColWidth="8" defaultRowHeight="15" outlineLevelCol="0"/>
  <cols>
    <col width="22" customWidth="1" min="1" max="1"/>
    <col width="14" customWidth="1" min="2" max="2"/>
    <col width="16" customWidth="1" min="3" max="3"/>
    <col width="10" customWidth="1" min="4" max="4"/>
    <col width="14" customWidth="1" min="5" max="5"/>
    <col width="14" customWidth="1" min="6" max="6"/>
    <col width="14" customWidth="1" min="7" max="7"/>
    <col width="16" customWidth="1" min="8" max="8"/>
    <col width="14" customWidth="1" min="9" max="9"/>
    <col width="14" customWidth="1" min="10" max="10"/>
    <col width="18" customWidth="1" min="11" max="11"/>
    <col width="22" customWidth="1" min="12" max="12"/>
  </cols>
  <sheetData>
    <row r="1" ht="32" customHeight="1">
      <c r="A1" s="1" t="inlineStr">
        <is>
          <t>Debt Tracker (Payoff metrics)</t>
        </is>
      </c>
    </row>
    <row r="2">
      <c r="A2" s="10" t="inlineStr">
        <is>
          <t>Enter each debt below. Payoff calculations assume constant monthly payment.</t>
        </is>
      </c>
    </row>
    <row r="4">
      <c r="A4" s="28" t="inlineStr">
        <is>
          <t>Debt Name</t>
        </is>
      </c>
      <c r="B4" s="28" t="inlineStr">
        <is>
          <t>Type</t>
        </is>
      </c>
      <c r="C4" s="28" t="inlineStr">
        <is>
          <t>Current Balance</t>
        </is>
      </c>
      <c r="D4" s="28" t="inlineStr">
        <is>
          <t>APR</t>
        </is>
      </c>
      <c r="E4" s="28" t="inlineStr">
        <is>
          <t>Min Payment</t>
        </is>
      </c>
      <c r="F4" s="28" t="inlineStr">
        <is>
          <t>Extra Payment</t>
        </is>
      </c>
      <c r="G4" s="28" t="inlineStr">
        <is>
          <t>Total Payment</t>
        </is>
      </c>
      <c r="H4" s="28" t="inlineStr">
        <is>
          <t>Include in Budget?</t>
        </is>
      </c>
      <c r="I4" s="28" t="inlineStr">
        <is>
          <t>Months to Payoff</t>
        </is>
      </c>
      <c r="J4" s="28" t="inlineStr">
        <is>
          <t>Payoff Date</t>
        </is>
      </c>
      <c r="K4" s="28" t="inlineStr">
        <is>
          <t>Est. Interest Paid</t>
        </is>
      </c>
      <c r="L4" s="28" t="inlineStr">
        <is>
          <t>Notes</t>
        </is>
      </c>
    </row>
    <row r="5">
      <c r="A5" s="29" t="n"/>
      <c r="B5" s="29" t="n"/>
      <c r="C5" s="30" t="n">
        <v>0</v>
      </c>
      <c r="D5" s="31" t="n">
        <v>0</v>
      </c>
      <c r="E5" s="30" t="n">
        <v>0</v>
      </c>
      <c r="F5" s="30" t="n">
        <v>0</v>
      </c>
      <c r="G5" s="30">
        <f>E5+F5</f>
        <v/>
      </c>
      <c r="H5" s="32" t="b">
        <v>1</v>
      </c>
      <c r="I5" s="33">
        <f>IF(G5&lt;=0,"",IF(D5=0,C5/G5,IF(G5&lt;=C5*D5/12,"Payment too low",NPER(D5/12,-G5,C5))))</f>
        <v/>
      </c>
      <c r="J5" s="34">
        <f>IFERROR(EDATE(Settings!$B$3,ROUNDUP(I5,0)),"")</f>
        <v/>
      </c>
      <c r="K5" s="30">
        <f>IF(OR(I5="",ISTEXT(I5)),"",G5*I5-C5)</f>
        <v/>
      </c>
      <c r="L5" s="29" t="n"/>
    </row>
    <row r="6">
      <c r="A6" s="29" t="n"/>
      <c r="B6" s="29" t="n"/>
      <c r="C6" s="30" t="n">
        <v>0</v>
      </c>
      <c r="D6" s="31" t="n">
        <v>0</v>
      </c>
      <c r="E6" s="30" t="n">
        <v>0</v>
      </c>
      <c r="F6" s="30" t="n">
        <v>0</v>
      </c>
      <c r="G6" s="30">
        <f>E6+F6</f>
        <v/>
      </c>
      <c r="H6" s="32" t="b">
        <v>1</v>
      </c>
      <c r="I6" s="33">
        <f>IF(G6&lt;=0,"",IF(D6=0,C6/G6,IF(G6&lt;=C6*D6/12,"Payment too low",NPER(D6/12,-G6,C6))))</f>
        <v/>
      </c>
      <c r="J6" s="34">
        <f>IFERROR(EDATE(Settings!$B$3,ROUNDUP(I6,0)),"")</f>
        <v/>
      </c>
      <c r="K6" s="30">
        <f>IF(OR(I6="",ISTEXT(I6)),"",G6*I6-C6)</f>
        <v/>
      </c>
      <c r="L6" s="29" t="n"/>
    </row>
    <row r="7">
      <c r="A7" s="29" t="n"/>
      <c r="B7" s="29" t="n"/>
      <c r="C7" s="30" t="n">
        <v>0</v>
      </c>
      <c r="D7" s="31" t="n">
        <v>0</v>
      </c>
      <c r="E7" s="30" t="n">
        <v>0</v>
      </c>
      <c r="F7" s="30" t="n">
        <v>0</v>
      </c>
      <c r="G7" s="30">
        <f>E7+F7</f>
        <v/>
      </c>
      <c r="H7" s="32" t="b">
        <v>1</v>
      </c>
      <c r="I7" s="33">
        <f>IF(G7&lt;=0,"",IF(D7=0,C7/G7,IF(G7&lt;=C7*D7/12,"Payment too low",NPER(D7/12,-G7,C7))))</f>
        <v/>
      </c>
      <c r="J7" s="34">
        <f>IFERROR(EDATE(Settings!$B$3,ROUNDUP(I7,0)),"")</f>
        <v/>
      </c>
      <c r="K7" s="30">
        <f>IF(OR(I7="",ISTEXT(I7)),"",G7*I7-C7)</f>
        <v/>
      </c>
      <c r="L7" s="29" t="n"/>
    </row>
    <row r="8">
      <c r="A8" s="29" t="n"/>
      <c r="B8" s="29" t="n"/>
      <c r="C8" s="30" t="n">
        <v>0</v>
      </c>
      <c r="D8" s="31" t="n">
        <v>0</v>
      </c>
      <c r="E8" s="30" t="n">
        <v>0</v>
      </c>
      <c r="F8" s="30" t="n">
        <v>0</v>
      </c>
      <c r="G8" s="30">
        <f>E8+F8</f>
        <v/>
      </c>
      <c r="H8" s="32" t="b">
        <v>1</v>
      </c>
      <c r="I8" s="33">
        <f>IF(G8&lt;=0,"",IF(D8=0,C8/G8,IF(G8&lt;=C8*D8/12,"Payment too low",NPER(D8/12,-G8,C8))))</f>
        <v/>
      </c>
      <c r="J8" s="34">
        <f>IFERROR(EDATE(Settings!$B$3,ROUNDUP(I8,0)),"")</f>
        <v/>
      </c>
      <c r="K8" s="30">
        <f>IF(OR(I8="",ISTEXT(I8)),"",G8*I8-C8)</f>
        <v/>
      </c>
      <c r="L8" s="29" t="n"/>
    </row>
    <row r="9">
      <c r="A9" s="29" t="n"/>
      <c r="B9" s="29" t="n"/>
      <c r="C9" s="30" t="n">
        <v>0</v>
      </c>
      <c r="D9" s="31" t="n">
        <v>0</v>
      </c>
      <c r="E9" s="30" t="n">
        <v>0</v>
      </c>
      <c r="F9" s="30" t="n">
        <v>0</v>
      </c>
      <c r="G9" s="30">
        <f>E9+F9</f>
        <v/>
      </c>
      <c r="H9" s="32" t="b">
        <v>1</v>
      </c>
      <c r="I9" s="33">
        <f>IF(G9&lt;=0,"",IF(D9=0,C9/G9,IF(G9&lt;=C9*D9/12,"Payment too low",NPER(D9/12,-G9,C9))))</f>
        <v/>
      </c>
      <c r="J9" s="34">
        <f>IFERROR(EDATE(Settings!$B$3,ROUNDUP(I9,0)),"")</f>
        <v/>
      </c>
      <c r="K9" s="30">
        <f>IF(OR(I9="",ISTEXT(I9)),"",G9*I9-C9)</f>
        <v/>
      </c>
      <c r="L9" s="29" t="n"/>
    </row>
    <row r="10">
      <c r="A10" s="29" t="n"/>
      <c r="B10" s="29" t="n"/>
      <c r="C10" s="30" t="n">
        <v>0</v>
      </c>
      <c r="D10" s="31" t="n">
        <v>0</v>
      </c>
      <c r="E10" s="30" t="n">
        <v>0</v>
      </c>
      <c r="F10" s="30" t="n">
        <v>0</v>
      </c>
      <c r="G10" s="30">
        <f>E10+F10</f>
        <v/>
      </c>
      <c r="H10" s="32" t="b">
        <v>1</v>
      </c>
      <c r="I10" s="33">
        <f>IF(G10&lt;=0,"",IF(D10=0,C10/G10,IF(G10&lt;=C10*D10/12,"Payment too low",NPER(D10/12,-G10,C10))))</f>
        <v/>
      </c>
      <c r="J10" s="34">
        <f>IFERROR(EDATE(Settings!$B$3,ROUNDUP(I10,0)),"")</f>
        <v/>
      </c>
      <c r="K10" s="30">
        <f>IF(OR(I10="",ISTEXT(I10)),"",G10*I10-C10)</f>
        <v/>
      </c>
      <c r="L10" s="29" t="n"/>
    </row>
    <row r="11">
      <c r="A11" s="29" t="n"/>
      <c r="B11" s="29" t="n"/>
      <c r="C11" s="30" t="n">
        <v>0</v>
      </c>
      <c r="D11" s="31" t="n">
        <v>0</v>
      </c>
      <c r="E11" s="30" t="n">
        <v>0</v>
      </c>
      <c r="F11" s="30" t="n">
        <v>0</v>
      </c>
      <c r="G11" s="30">
        <f>E11+F11</f>
        <v/>
      </c>
      <c r="H11" s="32" t="b">
        <v>1</v>
      </c>
      <c r="I11" s="33">
        <f>IF(G11&lt;=0,"",IF(D11=0,C11/G11,IF(G11&lt;=C11*D11/12,"Payment too low",NPER(D11/12,-G11,C11))))</f>
        <v/>
      </c>
      <c r="J11" s="34">
        <f>IFERROR(EDATE(Settings!$B$3,ROUNDUP(I11,0)),"")</f>
        <v/>
      </c>
      <c r="K11" s="30">
        <f>IF(OR(I11="",ISTEXT(I11)),"",G11*I11-C11)</f>
        <v/>
      </c>
      <c r="L11" s="29" t="n"/>
    </row>
    <row r="12">
      <c r="A12" s="29" t="n"/>
      <c r="B12" s="29" t="n"/>
      <c r="C12" s="30" t="n">
        <v>0</v>
      </c>
      <c r="D12" s="31" t="n">
        <v>0</v>
      </c>
      <c r="E12" s="30" t="n">
        <v>0</v>
      </c>
      <c r="F12" s="30" t="n">
        <v>0</v>
      </c>
      <c r="G12" s="30">
        <f>E12+F12</f>
        <v/>
      </c>
      <c r="H12" s="32" t="b">
        <v>1</v>
      </c>
      <c r="I12" s="33">
        <f>IF(G12&lt;=0,"",IF(D12=0,C12/G12,IF(G12&lt;=C12*D12/12,"Payment too low",NPER(D12/12,-G12,C12))))</f>
        <v/>
      </c>
      <c r="J12" s="34">
        <f>IFERROR(EDATE(Settings!$B$3,ROUNDUP(I12,0)),"")</f>
        <v/>
      </c>
      <c r="K12" s="30">
        <f>IF(OR(I12="",ISTEXT(I12)),"",G12*I12-C12)</f>
        <v/>
      </c>
      <c r="L12" s="29" t="n"/>
    </row>
    <row r="13">
      <c r="A13" s="29" t="n"/>
      <c r="B13" s="29" t="n"/>
      <c r="C13" s="30" t="n">
        <v>0</v>
      </c>
      <c r="D13" s="31" t="n">
        <v>0</v>
      </c>
      <c r="E13" s="30" t="n">
        <v>0</v>
      </c>
      <c r="F13" s="30" t="n">
        <v>0</v>
      </c>
      <c r="G13" s="30">
        <f>E13+F13</f>
        <v/>
      </c>
      <c r="H13" s="32" t="b">
        <v>1</v>
      </c>
      <c r="I13" s="33">
        <f>IF(G13&lt;=0,"",IF(D13=0,C13/G13,IF(G13&lt;=C13*D13/12,"Payment too low",NPER(D13/12,-G13,C13))))</f>
        <v/>
      </c>
      <c r="J13" s="34">
        <f>IFERROR(EDATE(Settings!$B$3,ROUNDUP(I13,0)),"")</f>
        <v/>
      </c>
      <c r="K13" s="30">
        <f>IF(OR(I13="",ISTEXT(I13)),"",G13*I13-C13)</f>
        <v/>
      </c>
      <c r="L13" s="29" t="n"/>
    </row>
    <row r="14">
      <c r="A14" s="29" t="n"/>
      <c r="B14" s="29" t="n"/>
      <c r="C14" s="30" t="n">
        <v>0</v>
      </c>
      <c r="D14" s="31" t="n">
        <v>0</v>
      </c>
      <c r="E14" s="30" t="n">
        <v>0</v>
      </c>
      <c r="F14" s="30" t="n">
        <v>0</v>
      </c>
      <c r="G14" s="30">
        <f>E14+F14</f>
        <v/>
      </c>
      <c r="H14" s="32" t="b">
        <v>1</v>
      </c>
      <c r="I14" s="33">
        <f>IF(G14&lt;=0,"",IF(D14=0,C14/G14,IF(G14&lt;=C14*D14/12,"Payment too low",NPER(D14/12,-G14,C14))))</f>
        <v/>
      </c>
      <c r="J14" s="34">
        <f>IFERROR(EDATE(Settings!$B$3,ROUNDUP(I14,0)),"")</f>
        <v/>
      </c>
      <c r="K14" s="30">
        <f>IF(OR(I14="",ISTEXT(I14)),"",G14*I14-C14)</f>
        <v/>
      </c>
      <c r="L14" s="29" t="n"/>
    </row>
    <row r="15">
      <c r="A15" s="29" t="n"/>
      <c r="B15" s="29" t="n"/>
      <c r="C15" s="30" t="n">
        <v>0</v>
      </c>
      <c r="D15" s="31" t="n">
        <v>0</v>
      </c>
      <c r="E15" s="30" t="n">
        <v>0</v>
      </c>
      <c r="F15" s="30" t="n">
        <v>0</v>
      </c>
      <c r="G15" s="30">
        <f>E15+F15</f>
        <v/>
      </c>
      <c r="H15" s="32" t="b">
        <v>1</v>
      </c>
      <c r="I15" s="33">
        <f>IF(G15&lt;=0,"",IF(D15=0,C15/G15,IF(G15&lt;=C15*D15/12,"Payment too low",NPER(D15/12,-G15,C15))))</f>
        <v/>
      </c>
      <c r="J15" s="34">
        <f>IFERROR(EDATE(Settings!$B$3,ROUNDUP(I15,0)),"")</f>
        <v/>
      </c>
      <c r="K15" s="30">
        <f>IF(OR(I15="",ISTEXT(I15)),"",G15*I15-C15)</f>
        <v/>
      </c>
      <c r="L15" s="29" t="n"/>
    </row>
    <row r="16">
      <c r="A16" s="29" t="n"/>
      <c r="B16" s="29" t="n"/>
      <c r="C16" s="30" t="n">
        <v>0</v>
      </c>
      <c r="D16" s="31" t="n">
        <v>0</v>
      </c>
      <c r="E16" s="30" t="n">
        <v>0</v>
      </c>
      <c r="F16" s="30" t="n">
        <v>0</v>
      </c>
      <c r="G16" s="30">
        <f>E16+F16</f>
        <v/>
      </c>
      <c r="H16" s="32" t="b">
        <v>1</v>
      </c>
      <c r="I16" s="33">
        <f>IF(G16&lt;=0,"",IF(D16=0,C16/G16,IF(G16&lt;=C16*D16/12,"Payment too low",NPER(D16/12,-G16,C16))))</f>
        <v/>
      </c>
      <c r="J16" s="34">
        <f>IFERROR(EDATE(Settings!$B$3,ROUNDUP(I16,0)),"")</f>
        <v/>
      </c>
      <c r="K16" s="30">
        <f>IF(OR(I16="",ISTEXT(I16)),"",G16*I16-C16)</f>
        <v/>
      </c>
      <c r="L16" s="29" t="n"/>
    </row>
    <row r="17">
      <c r="A17" s="29" t="n"/>
      <c r="B17" s="29" t="n"/>
      <c r="C17" s="30" t="n">
        <v>0</v>
      </c>
      <c r="D17" s="31" t="n">
        <v>0</v>
      </c>
      <c r="E17" s="30" t="n">
        <v>0</v>
      </c>
      <c r="F17" s="30" t="n">
        <v>0</v>
      </c>
      <c r="G17" s="30">
        <f>E17+F17</f>
        <v/>
      </c>
      <c r="H17" s="32" t="b">
        <v>1</v>
      </c>
      <c r="I17" s="33">
        <f>IF(G17&lt;=0,"",IF(D17=0,C17/G17,IF(G17&lt;=C17*D17/12,"Payment too low",NPER(D17/12,-G17,C17))))</f>
        <v/>
      </c>
      <c r="J17" s="34">
        <f>IFERROR(EDATE(Settings!$B$3,ROUNDUP(I17,0)),"")</f>
        <v/>
      </c>
      <c r="K17" s="30">
        <f>IF(OR(I17="",ISTEXT(I17)),"",G17*I17-C17)</f>
        <v/>
      </c>
      <c r="L17" s="29" t="n"/>
    </row>
    <row r="18">
      <c r="A18" s="29" t="n"/>
      <c r="B18" s="29" t="n"/>
      <c r="C18" s="30" t="n">
        <v>0</v>
      </c>
      <c r="D18" s="31" t="n">
        <v>0</v>
      </c>
      <c r="E18" s="30" t="n">
        <v>0</v>
      </c>
      <c r="F18" s="30" t="n">
        <v>0</v>
      </c>
      <c r="G18" s="30">
        <f>E18+F18</f>
        <v/>
      </c>
      <c r="H18" s="32" t="b">
        <v>1</v>
      </c>
      <c r="I18" s="33">
        <f>IF(G18&lt;=0,"",IF(D18=0,C18/G18,IF(G18&lt;=C18*D18/12,"Payment too low",NPER(D18/12,-G18,C18))))</f>
        <v/>
      </c>
      <c r="J18" s="34">
        <f>IFERROR(EDATE(Settings!$B$3,ROUNDUP(I18,0)),"")</f>
        <v/>
      </c>
      <c r="K18" s="30">
        <f>IF(OR(I18="",ISTEXT(I18)),"",G18*I18-C18)</f>
        <v/>
      </c>
      <c r="L18" s="29" t="n"/>
    </row>
    <row r="19">
      <c r="A19" s="29" t="n"/>
      <c r="B19" s="29" t="n"/>
      <c r="C19" s="30" t="n">
        <v>0</v>
      </c>
      <c r="D19" s="31" t="n">
        <v>0</v>
      </c>
      <c r="E19" s="30" t="n">
        <v>0</v>
      </c>
      <c r="F19" s="30" t="n">
        <v>0</v>
      </c>
      <c r="G19" s="30">
        <f>E19+F19</f>
        <v/>
      </c>
      <c r="H19" s="32" t="b">
        <v>1</v>
      </c>
      <c r="I19" s="33">
        <f>IF(G19&lt;=0,"",IF(D19=0,C19/G19,IF(G19&lt;=C19*D19/12,"Payment too low",NPER(D19/12,-G19,C19))))</f>
        <v/>
      </c>
      <c r="J19" s="34">
        <f>IFERROR(EDATE(Settings!$B$3,ROUNDUP(I19,0)),"")</f>
        <v/>
      </c>
      <c r="K19" s="30">
        <f>IF(OR(I19="",ISTEXT(I19)),"",G19*I19-C19)</f>
        <v/>
      </c>
      <c r="L19" s="29" t="n"/>
    </row>
    <row r="20">
      <c r="A20" s="29" t="n"/>
      <c r="B20" s="29" t="n"/>
      <c r="C20" s="30" t="n">
        <v>0</v>
      </c>
      <c r="D20" s="31" t="n">
        <v>0</v>
      </c>
      <c r="E20" s="30" t="n">
        <v>0</v>
      </c>
      <c r="F20" s="30" t="n">
        <v>0</v>
      </c>
      <c r="G20" s="30">
        <f>E20+F20</f>
        <v/>
      </c>
      <c r="H20" s="32" t="b">
        <v>1</v>
      </c>
      <c r="I20" s="33">
        <f>IF(G20&lt;=0,"",IF(D20=0,C20/G20,IF(G20&lt;=C20*D20/12,"Payment too low",NPER(D20/12,-G20,C20))))</f>
        <v/>
      </c>
      <c r="J20" s="34">
        <f>IFERROR(EDATE(Settings!$B$3,ROUNDUP(I20,0)),"")</f>
        <v/>
      </c>
      <c r="K20" s="30">
        <f>IF(OR(I20="",ISTEXT(I20)),"",G20*I20-C20)</f>
        <v/>
      </c>
      <c r="L20" s="29" t="n"/>
    </row>
    <row r="21">
      <c r="A21" s="29" t="n"/>
      <c r="B21" s="29" t="n"/>
      <c r="C21" s="30" t="n">
        <v>0</v>
      </c>
      <c r="D21" s="31" t="n">
        <v>0</v>
      </c>
      <c r="E21" s="30" t="n">
        <v>0</v>
      </c>
      <c r="F21" s="30" t="n">
        <v>0</v>
      </c>
      <c r="G21" s="30">
        <f>E21+F21</f>
        <v/>
      </c>
      <c r="H21" s="32" t="b">
        <v>1</v>
      </c>
      <c r="I21" s="33">
        <f>IF(G21&lt;=0,"",IF(D21=0,C21/G21,IF(G21&lt;=C21*D21/12,"Payment too low",NPER(D21/12,-G21,C21))))</f>
        <v/>
      </c>
      <c r="J21" s="34">
        <f>IFERROR(EDATE(Settings!$B$3,ROUNDUP(I21,0)),"")</f>
        <v/>
      </c>
      <c r="K21" s="30">
        <f>IF(OR(I21="",ISTEXT(I21)),"",G21*I21-C21)</f>
        <v/>
      </c>
      <c r="L21" s="29" t="n"/>
    </row>
    <row r="22">
      <c r="A22" s="29" t="n"/>
      <c r="B22" s="29" t="n"/>
      <c r="C22" s="30" t="n">
        <v>0</v>
      </c>
      <c r="D22" s="31" t="n">
        <v>0</v>
      </c>
      <c r="E22" s="30" t="n">
        <v>0</v>
      </c>
      <c r="F22" s="30" t="n">
        <v>0</v>
      </c>
      <c r="G22" s="30">
        <f>E22+F22</f>
        <v/>
      </c>
      <c r="H22" s="32" t="b">
        <v>1</v>
      </c>
      <c r="I22" s="33">
        <f>IF(G22&lt;=0,"",IF(D22=0,C22/G22,IF(G22&lt;=C22*D22/12,"Payment too low",NPER(D22/12,-G22,C22))))</f>
        <v/>
      </c>
      <c r="J22" s="34">
        <f>IFERROR(EDATE(Settings!$B$3,ROUNDUP(I22,0)),"")</f>
        <v/>
      </c>
      <c r="K22" s="30">
        <f>IF(OR(I22="",ISTEXT(I22)),"",G22*I22-C22)</f>
        <v/>
      </c>
      <c r="L22" s="29" t="n"/>
    </row>
    <row r="23">
      <c r="A23" s="29" t="n"/>
      <c r="B23" s="29" t="n"/>
      <c r="C23" s="30" t="n">
        <v>0</v>
      </c>
      <c r="D23" s="31" t="n">
        <v>0</v>
      </c>
      <c r="E23" s="30" t="n">
        <v>0</v>
      </c>
      <c r="F23" s="30" t="n">
        <v>0</v>
      </c>
      <c r="G23" s="30">
        <f>E23+F23</f>
        <v/>
      </c>
      <c r="H23" s="32" t="b">
        <v>1</v>
      </c>
      <c r="I23" s="33">
        <f>IF(G23&lt;=0,"",IF(D23=0,C23/G23,IF(G23&lt;=C23*D23/12,"Payment too low",NPER(D23/12,-G23,C23))))</f>
        <v/>
      </c>
      <c r="J23" s="34">
        <f>IFERROR(EDATE(Settings!$B$3,ROUNDUP(I23,0)),"")</f>
        <v/>
      </c>
      <c r="K23" s="30">
        <f>IF(OR(I23="",ISTEXT(I23)),"",G23*I23-C23)</f>
        <v/>
      </c>
      <c r="L23" s="29" t="n"/>
    </row>
    <row r="24">
      <c r="A24" s="29" t="n"/>
      <c r="B24" s="29" t="n"/>
      <c r="C24" s="30" t="n">
        <v>0</v>
      </c>
      <c r="D24" s="31" t="n">
        <v>0</v>
      </c>
      <c r="E24" s="30" t="n">
        <v>0</v>
      </c>
      <c r="F24" s="30" t="n">
        <v>0</v>
      </c>
      <c r="G24" s="30">
        <f>E24+F24</f>
        <v/>
      </c>
      <c r="H24" s="32" t="b">
        <v>1</v>
      </c>
      <c r="I24" s="33">
        <f>IF(G24&lt;=0,"",IF(D24=0,C24/G24,IF(G24&lt;=C24*D24/12,"Payment too low",NPER(D24/12,-G24,C24))))</f>
        <v/>
      </c>
      <c r="J24" s="34">
        <f>IFERROR(EDATE(Settings!$B$3,ROUNDUP(I24,0)),"")</f>
        <v/>
      </c>
      <c r="K24" s="30">
        <f>IF(OR(I24="",ISTEXT(I24)),"",G24*I24-C24)</f>
        <v/>
      </c>
      <c r="L24" s="29" t="n"/>
    </row>
    <row r="25">
      <c r="A25" s="29" t="n"/>
      <c r="B25" s="29" t="n"/>
      <c r="C25" s="30" t="n">
        <v>0</v>
      </c>
      <c r="D25" s="31" t="n">
        <v>0</v>
      </c>
      <c r="E25" s="30" t="n">
        <v>0</v>
      </c>
      <c r="F25" s="30" t="n">
        <v>0</v>
      </c>
      <c r="G25" s="30">
        <f>E25+F25</f>
        <v/>
      </c>
      <c r="H25" s="32" t="b">
        <v>1</v>
      </c>
      <c r="I25" s="33">
        <f>IF(G25&lt;=0,"",IF(D25=0,C25/G25,IF(G25&lt;=C25*D25/12,"Payment too low",NPER(D25/12,-G25,C25))))</f>
        <v/>
      </c>
      <c r="J25" s="34">
        <f>IFERROR(EDATE(Settings!$B$3,ROUNDUP(I25,0)),"")</f>
        <v/>
      </c>
      <c r="K25" s="30">
        <f>IF(OR(I25="",ISTEXT(I25)),"",G25*I25-C25)</f>
        <v/>
      </c>
      <c r="L25" s="29" t="n"/>
    </row>
    <row r="26">
      <c r="A26" s="29" t="n"/>
      <c r="B26" s="29" t="n"/>
      <c r="C26" s="30" t="n">
        <v>0</v>
      </c>
      <c r="D26" s="31" t="n">
        <v>0</v>
      </c>
      <c r="E26" s="30" t="n">
        <v>0</v>
      </c>
      <c r="F26" s="30" t="n">
        <v>0</v>
      </c>
      <c r="G26" s="30">
        <f>E26+F26</f>
        <v/>
      </c>
      <c r="H26" s="32" t="b">
        <v>1</v>
      </c>
      <c r="I26" s="33">
        <f>IF(G26&lt;=0,"",IF(D26=0,C26/G26,IF(G26&lt;=C26*D26/12,"Payment too low",NPER(D26/12,-G26,C26))))</f>
        <v/>
      </c>
      <c r="J26" s="34">
        <f>IFERROR(EDATE(Settings!$B$3,ROUNDUP(I26,0)),"")</f>
        <v/>
      </c>
      <c r="K26" s="30">
        <f>IF(OR(I26="",ISTEXT(I26)),"",G26*I26-C26)</f>
        <v/>
      </c>
      <c r="L26" s="29" t="n"/>
    </row>
    <row r="27">
      <c r="A27" s="29" t="n"/>
      <c r="B27" s="29" t="n"/>
      <c r="C27" s="30" t="n">
        <v>0</v>
      </c>
      <c r="D27" s="31" t="n">
        <v>0</v>
      </c>
      <c r="E27" s="30" t="n">
        <v>0</v>
      </c>
      <c r="F27" s="30" t="n">
        <v>0</v>
      </c>
      <c r="G27" s="30">
        <f>E27+F27</f>
        <v/>
      </c>
      <c r="H27" s="32" t="b">
        <v>1</v>
      </c>
      <c r="I27" s="33">
        <f>IF(G27&lt;=0,"",IF(D27=0,C27/G27,IF(G27&lt;=C27*D27/12,"Payment too low",NPER(D27/12,-G27,C27))))</f>
        <v/>
      </c>
      <c r="J27" s="34">
        <f>IFERROR(EDATE(Settings!$B$3,ROUNDUP(I27,0)),"")</f>
        <v/>
      </c>
      <c r="K27" s="30">
        <f>IF(OR(I27="",ISTEXT(I27)),"",G27*I27-C27)</f>
        <v/>
      </c>
      <c r="L27" s="29" t="n"/>
    </row>
    <row r="28">
      <c r="A28" s="29" t="n"/>
      <c r="B28" s="29" t="n"/>
      <c r="C28" s="30" t="n">
        <v>0</v>
      </c>
      <c r="D28" s="31" t="n">
        <v>0</v>
      </c>
      <c r="E28" s="30" t="n">
        <v>0</v>
      </c>
      <c r="F28" s="30" t="n">
        <v>0</v>
      </c>
      <c r="G28" s="30">
        <f>E28+F28</f>
        <v/>
      </c>
      <c r="H28" s="32" t="b">
        <v>1</v>
      </c>
      <c r="I28" s="33">
        <f>IF(G28&lt;=0,"",IF(D28=0,C28/G28,IF(G28&lt;=C28*D28/12,"Payment too low",NPER(D28/12,-G28,C28))))</f>
        <v/>
      </c>
      <c r="J28" s="34">
        <f>IFERROR(EDATE(Settings!$B$3,ROUNDUP(I28,0)),"")</f>
        <v/>
      </c>
      <c r="K28" s="30">
        <f>IF(OR(I28="",ISTEXT(I28)),"",G28*I28-C28)</f>
        <v/>
      </c>
      <c r="L28" s="29" t="n"/>
    </row>
    <row r="29">
      <c r="A29" s="29" t="n"/>
      <c r="B29" s="29" t="n"/>
      <c r="C29" s="30" t="n">
        <v>0</v>
      </c>
      <c r="D29" s="31" t="n">
        <v>0</v>
      </c>
      <c r="E29" s="30" t="n">
        <v>0</v>
      </c>
      <c r="F29" s="30" t="n">
        <v>0</v>
      </c>
      <c r="G29" s="30">
        <f>E29+F29</f>
        <v/>
      </c>
      <c r="H29" s="32" t="b">
        <v>1</v>
      </c>
      <c r="I29" s="33">
        <f>IF(G29&lt;=0,"",IF(D29=0,C29/G29,IF(G29&lt;=C29*D29/12,"Payment too low",NPER(D29/12,-G29,C29))))</f>
        <v/>
      </c>
      <c r="J29" s="34">
        <f>IFERROR(EDATE(Settings!$B$3,ROUNDUP(I29,0)),"")</f>
        <v/>
      </c>
      <c r="K29" s="30">
        <f>IF(OR(I29="",ISTEXT(I29)),"",G29*I29-C29)</f>
        <v/>
      </c>
      <c r="L29" s="29" t="n"/>
    </row>
    <row r="30">
      <c r="A30" s="29" t="n"/>
      <c r="B30" s="29" t="n"/>
      <c r="C30" s="30" t="n">
        <v>0</v>
      </c>
      <c r="D30" s="31" t="n">
        <v>0</v>
      </c>
      <c r="E30" s="30" t="n">
        <v>0</v>
      </c>
      <c r="F30" s="30" t="n">
        <v>0</v>
      </c>
      <c r="G30" s="30">
        <f>E30+F30</f>
        <v/>
      </c>
      <c r="H30" s="32" t="b">
        <v>1</v>
      </c>
      <c r="I30" s="33">
        <f>IF(G30&lt;=0,"",IF(D30=0,C30/G30,IF(G30&lt;=C30*D30/12,"Payment too low",NPER(D30/12,-G30,C30))))</f>
        <v/>
      </c>
      <c r="J30" s="34">
        <f>IFERROR(EDATE(Settings!$B$3,ROUNDUP(I30,0)),"")</f>
        <v/>
      </c>
      <c r="K30" s="30">
        <f>IF(OR(I30="",ISTEXT(I30)),"",G30*I30-C30)</f>
        <v/>
      </c>
      <c r="L30" s="29" t="n"/>
    </row>
    <row r="31">
      <c r="A31" s="29" t="n"/>
      <c r="B31" s="29" t="n"/>
      <c r="C31" s="30" t="n">
        <v>0</v>
      </c>
      <c r="D31" s="31" t="n">
        <v>0</v>
      </c>
      <c r="E31" s="30" t="n">
        <v>0</v>
      </c>
      <c r="F31" s="30" t="n">
        <v>0</v>
      </c>
      <c r="G31" s="30">
        <f>E31+F31</f>
        <v/>
      </c>
      <c r="H31" s="32" t="b">
        <v>1</v>
      </c>
      <c r="I31" s="33">
        <f>IF(G31&lt;=0,"",IF(D31=0,C31/G31,IF(G31&lt;=C31*D31/12,"Payment too low",NPER(D31/12,-G31,C31))))</f>
        <v/>
      </c>
      <c r="J31" s="34">
        <f>IFERROR(EDATE(Settings!$B$3,ROUNDUP(I31,0)),"")</f>
        <v/>
      </c>
      <c r="K31" s="30">
        <f>IF(OR(I31="",ISTEXT(I31)),"",G31*I31-C31)</f>
        <v/>
      </c>
      <c r="L31" s="29" t="n"/>
    </row>
    <row r="32">
      <c r="A32" s="29" t="n"/>
      <c r="B32" s="29" t="n"/>
      <c r="C32" s="30" t="n">
        <v>0</v>
      </c>
      <c r="D32" s="31" t="n">
        <v>0</v>
      </c>
      <c r="E32" s="30" t="n">
        <v>0</v>
      </c>
      <c r="F32" s="30" t="n">
        <v>0</v>
      </c>
      <c r="G32" s="30">
        <f>E32+F32</f>
        <v/>
      </c>
      <c r="H32" s="32" t="b">
        <v>1</v>
      </c>
      <c r="I32" s="33">
        <f>IF(G32&lt;=0,"",IF(D32=0,C32/G32,IF(G32&lt;=C32*D32/12,"Payment too low",NPER(D32/12,-G32,C32))))</f>
        <v/>
      </c>
      <c r="J32" s="34">
        <f>IFERROR(EDATE(Settings!$B$3,ROUNDUP(I32,0)),"")</f>
        <v/>
      </c>
      <c r="K32" s="30">
        <f>IF(OR(I32="",ISTEXT(I32)),"",G32*I32-C32)</f>
        <v/>
      </c>
      <c r="L32" s="29" t="n"/>
    </row>
    <row r="33">
      <c r="A33" s="29" t="n"/>
      <c r="B33" s="29" t="n"/>
      <c r="C33" s="30" t="n">
        <v>0</v>
      </c>
      <c r="D33" s="31" t="n">
        <v>0</v>
      </c>
      <c r="E33" s="30" t="n">
        <v>0</v>
      </c>
      <c r="F33" s="30" t="n">
        <v>0</v>
      </c>
      <c r="G33" s="30">
        <f>E33+F33</f>
        <v/>
      </c>
      <c r="H33" s="32" t="b">
        <v>1</v>
      </c>
      <c r="I33" s="33">
        <f>IF(G33&lt;=0,"",IF(D33=0,C33/G33,IF(G33&lt;=C33*D33/12,"Payment too low",NPER(D33/12,-G33,C33))))</f>
        <v/>
      </c>
      <c r="J33" s="34">
        <f>IFERROR(EDATE(Settings!$B$3,ROUNDUP(I33,0)),"")</f>
        <v/>
      </c>
      <c r="K33" s="30">
        <f>IF(OR(I33="",ISTEXT(I33)),"",G33*I33-C33)</f>
        <v/>
      </c>
      <c r="L33" s="29" t="n"/>
    </row>
    <row r="34">
      <c r="A34" s="29" t="n"/>
      <c r="B34" s="29" t="n"/>
      <c r="C34" s="30" t="n">
        <v>0</v>
      </c>
      <c r="D34" s="31" t="n">
        <v>0</v>
      </c>
      <c r="E34" s="30" t="n">
        <v>0</v>
      </c>
      <c r="F34" s="30" t="n">
        <v>0</v>
      </c>
      <c r="G34" s="30">
        <f>E34+F34</f>
        <v/>
      </c>
      <c r="H34" s="32" t="b">
        <v>1</v>
      </c>
      <c r="I34" s="33">
        <f>IF(G34&lt;=0,"",IF(D34=0,C34/G34,IF(G34&lt;=C34*D34/12,"Payment too low",NPER(D34/12,-G34,C34))))</f>
        <v/>
      </c>
      <c r="J34" s="34">
        <f>IFERROR(EDATE(Settings!$B$3,ROUNDUP(I34,0)),"")</f>
        <v/>
      </c>
      <c r="K34" s="30">
        <f>IF(OR(I34="",ISTEXT(I34)),"",G34*I34-C34)</f>
        <v/>
      </c>
      <c r="L34" s="29" t="n"/>
    </row>
    <row r="35">
      <c r="A35" s="29" t="n"/>
      <c r="B35" s="29" t="n"/>
      <c r="C35" s="30" t="n">
        <v>0</v>
      </c>
      <c r="D35" s="31" t="n">
        <v>0</v>
      </c>
      <c r="E35" s="30" t="n">
        <v>0</v>
      </c>
      <c r="F35" s="30" t="n">
        <v>0</v>
      </c>
      <c r="G35" s="30">
        <f>E35+F35</f>
        <v/>
      </c>
      <c r="H35" s="32" t="b">
        <v>1</v>
      </c>
      <c r="I35" s="33">
        <f>IF(G35&lt;=0,"",IF(D35=0,C35/G35,IF(G35&lt;=C35*D35/12,"Payment too low",NPER(D35/12,-G35,C35))))</f>
        <v/>
      </c>
      <c r="J35" s="34">
        <f>IFERROR(EDATE(Settings!$B$3,ROUNDUP(I35,0)),"")</f>
        <v/>
      </c>
      <c r="K35" s="30">
        <f>IF(OR(I35="",ISTEXT(I35)),"",G35*I35-C35)</f>
        <v/>
      </c>
      <c r="L35" s="29" t="n"/>
    </row>
    <row r="36">
      <c r="A36" s="29" t="n"/>
      <c r="B36" s="29" t="n"/>
      <c r="C36" s="30" t="n">
        <v>0</v>
      </c>
      <c r="D36" s="31" t="n">
        <v>0</v>
      </c>
      <c r="E36" s="30" t="n">
        <v>0</v>
      </c>
      <c r="F36" s="30" t="n">
        <v>0</v>
      </c>
      <c r="G36" s="30">
        <f>E36+F36</f>
        <v/>
      </c>
      <c r="H36" s="32" t="b">
        <v>1</v>
      </c>
      <c r="I36" s="33">
        <f>IF(G36&lt;=0,"",IF(D36=0,C36/G36,IF(G36&lt;=C36*D36/12,"Payment too low",NPER(D36/12,-G36,C36))))</f>
        <v/>
      </c>
      <c r="J36" s="34">
        <f>IFERROR(EDATE(Settings!$B$3,ROUNDUP(I36,0)),"")</f>
        <v/>
      </c>
      <c r="K36" s="30">
        <f>IF(OR(I36="",ISTEXT(I36)),"",G36*I36-C36)</f>
        <v/>
      </c>
      <c r="L36" s="29" t="n"/>
    </row>
    <row r="37">
      <c r="A37" s="29" t="n"/>
      <c r="B37" s="29" t="n"/>
      <c r="C37" s="30" t="n">
        <v>0</v>
      </c>
      <c r="D37" s="31" t="n">
        <v>0</v>
      </c>
      <c r="E37" s="30" t="n">
        <v>0</v>
      </c>
      <c r="F37" s="30" t="n">
        <v>0</v>
      </c>
      <c r="G37" s="30">
        <f>E37+F37</f>
        <v/>
      </c>
      <c r="H37" s="32" t="b">
        <v>1</v>
      </c>
      <c r="I37" s="33">
        <f>IF(G37&lt;=0,"",IF(D37=0,C37/G37,IF(G37&lt;=C37*D37/12,"Payment too low",NPER(D37/12,-G37,C37))))</f>
        <v/>
      </c>
      <c r="J37" s="34">
        <f>IFERROR(EDATE(Settings!$B$3,ROUNDUP(I37,0)),"")</f>
        <v/>
      </c>
      <c r="K37" s="30">
        <f>IF(OR(I37="",ISTEXT(I37)),"",G37*I37-C37)</f>
        <v/>
      </c>
      <c r="L37" s="29" t="n"/>
    </row>
    <row r="38">
      <c r="A38" s="29" t="n"/>
      <c r="B38" s="29" t="n"/>
      <c r="C38" s="30" t="n">
        <v>0</v>
      </c>
      <c r="D38" s="31" t="n">
        <v>0</v>
      </c>
      <c r="E38" s="30" t="n">
        <v>0</v>
      </c>
      <c r="F38" s="30" t="n">
        <v>0</v>
      </c>
      <c r="G38" s="30">
        <f>E38+F38</f>
        <v/>
      </c>
      <c r="H38" s="32" t="b">
        <v>1</v>
      </c>
      <c r="I38" s="33">
        <f>IF(G38&lt;=0,"",IF(D38=0,C38/G38,IF(G38&lt;=C38*D38/12,"Payment too low",NPER(D38/12,-G38,C38))))</f>
        <v/>
      </c>
      <c r="J38" s="34">
        <f>IFERROR(EDATE(Settings!$B$3,ROUNDUP(I38,0)),"")</f>
        <v/>
      </c>
      <c r="K38" s="30">
        <f>IF(OR(I38="",ISTEXT(I38)),"",G38*I38-C38)</f>
        <v/>
      </c>
      <c r="L38" s="29" t="n"/>
    </row>
    <row r="39">
      <c r="A39" s="29" t="n"/>
      <c r="B39" s="29" t="n"/>
      <c r="C39" s="30" t="n">
        <v>0</v>
      </c>
      <c r="D39" s="31" t="n">
        <v>0</v>
      </c>
      <c r="E39" s="30" t="n">
        <v>0</v>
      </c>
      <c r="F39" s="30" t="n">
        <v>0</v>
      </c>
      <c r="G39" s="30">
        <f>E39+F39</f>
        <v/>
      </c>
      <c r="H39" s="32" t="b">
        <v>1</v>
      </c>
      <c r="I39" s="33">
        <f>IF(G39&lt;=0,"",IF(D39=0,C39/G39,IF(G39&lt;=C39*D39/12,"Payment too low",NPER(D39/12,-G39,C39))))</f>
        <v/>
      </c>
      <c r="J39" s="34">
        <f>IFERROR(EDATE(Settings!$B$3,ROUNDUP(I39,0)),"")</f>
        <v/>
      </c>
      <c r="K39" s="30">
        <f>IF(OR(I39="",ISTEXT(I39)),"",G39*I39-C39)</f>
        <v/>
      </c>
      <c r="L39" s="29" t="n"/>
    </row>
    <row r="40">
      <c r="A40" s="29" t="n"/>
      <c r="B40" s="29" t="n"/>
      <c r="C40" s="30" t="n">
        <v>0</v>
      </c>
      <c r="D40" s="31" t="n">
        <v>0</v>
      </c>
      <c r="E40" s="30" t="n">
        <v>0</v>
      </c>
      <c r="F40" s="30" t="n">
        <v>0</v>
      </c>
      <c r="G40" s="30">
        <f>E40+F40</f>
        <v/>
      </c>
      <c r="H40" s="32" t="b">
        <v>1</v>
      </c>
      <c r="I40" s="33">
        <f>IF(G40&lt;=0,"",IF(D40=0,C40/G40,IF(G40&lt;=C40*D40/12,"Payment too low",NPER(D40/12,-G40,C40))))</f>
        <v/>
      </c>
      <c r="J40" s="34">
        <f>IFERROR(EDATE(Settings!$B$3,ROUNDUP(I40,0)),"")</f>
        <v/>
      </c>
      <c r="K40" s="30">
        <f>IF(OR(I40="",ISTEXT(I40)),"",G40*I40-C40)</f>
        <v/>
      </c>
      <c r="L40" s="29" t="n"/>
    </row>
    <row r="41">
      <c r="A41" s="29" t="n"/>
      <c r="B41" s="29" t="n"/>
      <c r="C41" s="30" t="n">
        <v>0</v>
      </c>
      <c r="D41" s="31" t="n">
        <v>0</v>
      </c>
      <c r="E41" s="30" t="n">
        <v>0</v>
      </c>
      <c r="F41" s="30" t="n">
        <v>0</v>
      </c>
      <c r="G41" s="30">
        <f>E41+F41</f>
        <v/>
      </c>
      <c r="H41" s="32" t="b">
        <v>1</v>
      </c>
      <c r="I41" s="33">
        <f>IF(G41&lt;=0,"",IF(D41=0,C41/G41,IF(G41&lt;=C41*D41/12,"Payment too low",NPER(D41/12,-G41,C41))))</f>
        <v/>
      </c>
      <c r="J41" s="34">
        <f>IFERROR(EDATE(Settings!$B$3,ROUNDUP(I41,0)),"")</f>
        <v/>
      </c>
      <c r="K41" s="30">
        <f>IF(OR(I41="",ISTEXT(I41)),"",G41*I41-C41)</f>
        <v/>
      </c>
      <c r="L41" s="29" t="n"/>
    </row>
    <row r="42">
      <c r="A42" s="29" t="n"/>
      <c r="B42" s="29" t="n"/>
      <c r="C42" s="30" t="n">
        <v>0</v>
      </c>
      <c r="D42" s="31" t="n">
        <v>0</v>
      </c>
      <c r="E42" s="30" t="n">
        <v>0</v>
      </c>
      <c r="F42" s="30" t="n">
        <v>0</v>
      </c>
      <c r="G42" s="30">
        <f>E42+F42</f>
        <v/>
      </c>
      <c r="H42" s="32" t="b">
        <v>1</v>
      </c>
      <c r="I42" s="33">
        <f>IF(G42&lt;=0,"",IF(D42=0,C42/G42,IF(G42&lt;=C42*D42/12,"Payment too low",NPER(D42/12,-G42,C42))))</f>
        <v/>
      </c>
      <c r="J42" s="34">
        <f>IFERROR(EDATE(Settings!$B$3,ROUNDUP(I42,0)),"")</f>
        <v/>
      </c>
      <c r="K42" s="30">
        <f>IF(OR(I42="",ISTEXT(I42)),"",G42*I42-C42)</f>
        <v/>
      </c>
      <c r="L42" s="29" t="n"/>
    </row>
    <row r="43">
      <c r="A43" s="29" t="n"/>
      <c r="B43" s="29" t="n"/>
      <c r="C43" s="30" t="n">
        <v>0</v>
      </c>
      <c r="D43" s="31" t="n">
        <v>0</v>
      </c>
      <c r="E43" s="30" t="n">
        <v>0</v>
      </c>
      <c r="F43" s="30" t="n">
        <v>0</v>
      </c>
      <c r="G43" s="30">
        <f>E43+F43</f>
        <v/>
      </c>
      <c r="H43" s="32" t="b">
        <v>1</v>
      </c>
      <c r="I43" s="33">
        <f>IF(G43&lt;=0,"",IF(D43=0,C43/G43,IF(G43&lt;=C43*D43/12,"Payment too low",NPER(D43/12,-G43,C43))))</f>
        <v/>
      </c>
      <c r="J43" s="34">
        <f>IFERROR(EDATE(Settings!$B$3,ROUNDUP(I43,0)),"")</f>
        <v/>
      </c>
      <c r="K43" s="30">
        <f>IF(OR(I43="",ISTEXT(I43)),"",G43*I43-C43)</f>
        <v/>
      </c>
      <c r="L43" s="29" t="n"/>
    </row>
    <row r="44">
      <c r="A44" s="29" t="n"/>
      <c r="B44" s="29" t="n"/>
      <c r="C44" s="30" t="n">
        <v>0</v>
      </c>
      <c r="D44" s="31" t="n">
        <v>0</v>
      </c>
      <c r="E44" s="30" t="n">
        <v>0</v>
      </c>
      <c r="F44" s="30" t="n">
        <v>0</v>
      </c>
      <c r="G44" s="30">
        <f>E44+F44</f>
        <v/>
      </c>
      <c r="H44" s="32" t="b">
        <v>1</v>
      </c>
      <c r="I44" s="33">
        <f>IF(G44&lt;=0,"",IF(D44=0,C44/G44,IF(G44&lt;=C44*D44/12,"Payment too low",NPER(D44/12,-G44,C44))))</f>
        <v/>
      </c>
      <c r="J44" s="34">
        <f>IFERROR(EDATE(Settings!$B$3,ROUNDUP(I44,0)),"")</f>
        <v/>
      </c>
      <c r="K44" s="30">
        <f>IF(OR(I44="",ISTEXT(I44)),"",G44*I44-C44)</f>
        <v/>
      </c>
      <c r="L44" s="29" t="n"/>
    </row>
    <row r="45">
      <c r="A45" s="29" t="n"/>
      <c r="B45" s="29" t="n"/>
      <c r="C45" s="30" t="n">
        <v>0</v>
      </c>
      <c r="D45" s="31" t="n">
        <v>0</v>
      </c>
      <c r="E45" s="30" t="n">
        <v>0</v>
      </c>
      <c r="F45" s="30" t="n">
        <v>0</v>
      </c>
      <c r="G45" s="30">
        <f>E45+F45</f>
        <v/>
      </c>
      <c r="H45" s="32" t="b">
        <v>1</v>
      </c>
      <c r="I45" s="33">
        <f>IF(G45&lt;=0,"",IF(D45=0,C45/G45,IF(G45&lt;=C45*D45/12,"Payment too low",NPER(D45/12,-G45,C45))))</f>
        <v/>
      </c>
      <c r="J45" s="34">
        <f>IFERROR(EDATE(Settings!$B$3,ROUNDUP(I45,0)),"")</f>
        <v/>
      </c>
      <c r="K45" s="30">
        <f>IF(OR(I45="",ISTEXT(I45)),"",G45*I45-C45)</f>
        <v/>
      </c>
      <c r="L45" s="29" t="n"/>
    </row>
    <row r="46">
      <c r="A46" s="29" t="n"/>
      <c r="B46" s="29" t="n"/>
      <c r="C46" s="30" t="n">
        <v>0</v>
      </c>
      <c r="D46" s="31" t="n">
        <v>0</v>
      </c>
      <c r="E46" s="30" t="n">
        <v>0</v>
      </c>
      <c r="F46" s="30" t="n">
        <v>0</v>
      </c>
      <c r="G46" s="30">
        <f>E46+F46</f>
        <v/>
      </c>
      <c r="H46" s="32" t="b">
        <v>1</v>
      </c>
      <c r="I46" s="33">
        <f>IF(G46&lt;=0,"",IF(D46=0,C46/G46,IF(G46&lt;=C46*D46/12,"Payment too low",NPER(D46/12,-G46,C46))))</f>
        <v/>
      </c>
      <c r="J46" s="34">
        <f>IFERROR(EDATE(Settings!$B$3,ROUNDUP(I46,0)),"")</f>
        <v/>
      </c>
      <c r="K46" s="30">
        <f>IF(OR(I46="",ISTEXT(I46)),"",G46*I46-C46)</f>
        <v/>
      </c>
      <c r="L46" s="29" t="n"/>
    </row>
    <row r="47">
      <c r="A47" s="29" t="n"/>
      <c r="B47" s="29" t="n"/>
      <c r="C47" s="30" t="n">
        <v>0</v>
      </c>
      <c r="D47" s="31" t="n">
        <v>0</v>
      </c>
      <c r="E47" s="30" t="n">
        <v>0</v>
      </c>
      <c r="F47" s="30" t="n">
        <v>0</v>
      </c>
      <c r="G47" s="30">
        <f>E47+F47</f>
        <v/>
      </c>
      <c r="H47" s="32" t="b">
        <v>1</v>
      </c>
      <c r="I47" s="33">
        <f>IF(G47&lt;=0,"",IF(D47=0,C47/G47,IF(G47&lt;=C47*D47/12,"Payment too low",NPER(D47/12,-G47,C47))))</f>
        <v/>
      </c>
      <c r="J47" s="34">
        <f>IFERROR(EDATE(Settings!$B$3,ROUNDUP(I47,0)),"")</f>
        <v/>
      </c>
      <c r="K47" s="30">
        <f>IF(OR(I47="",ISTEXT(I47)),"",G47*I47-C47)</f>
        <v/>
      </c>
      <c r="L47" s="29" t="n"/>
    </row>
    <row r="48">
      <c r="A48" s="29" t="n"/>
      <c r="B48" s="29" t="n"/>
      <c r="C48" s="30" t="n">
        <v>0</v>
      </c>
      <c r="D48" s="31" t="n">
        <v>0</v>
      </c>
      <c r="E48" s="30" t="n">
        <v>0</v>
      </c>
      <c r="F48" s="30" t="n">
        <v>0</v>
      </c>
      <c r="G48" s="30">
        <f>E48+F48</f>
        <v/>
      </c>
      <c r="H48" s="32" t="b">
        <v>1</v>
      </c>
      <c r="I48" s="33">
        <f>IF(G48&lt;=0,"",IF(D48=0,C48/G48,IF(G48&lt;=C48*D48/12,"Payment too low",NPER(D48/12,-G48,C48))))</f>
        <v/>
      </c>
      <c r="J48" s="34">
        <f>IFERROR(EDATE(Settings!$B$3,ROUNDUP(I48,0)),"")</f>
        <v/>
      </c>
      <c r="K48" s="30">
        <f>IF(OR(I48="",ISTEXT(I48)),"",G48*I48-C48)</f>
        <v/>
      </c>
      <c r="L48" s="29" t="n"/>
    </row>
    <row r="49">
      <c r="A49" s="29" t="n"/>
      <c r="B49" s="29" t="n"/>
      <c r="C49" s="30" t="n">
        <v>0</v>
      </c>
      <c r="D49" s="31" t="n">
        <v>0</v>
      </c>
      <c r="E49" s="30" t="n">
        <v>0</v>
      </c>
      <c r="F49" s="30" t="n">
        <v>0</v>
      </c>
      <c r="G49" s="30">
        <f>E49+F49</f>
        <v/>
      </c>
      <c r="H49" s="32" t="b">
        <v>1</v>
      </c>
      <c r="I49" s="33">
        <f>IF(G49&lt;=0,"",IF(D49=0,C49/G49,IF(G49&lt;=C49*D49/12,"Payment too low",NPER(D49/12,-G49,C49))))</f>
        <v/>
      </c>
      <c r="J49" s="34">
        <f>IFERROR(EDATE(Settings!$B$3,ROUNDUP(I49,0)),"")</f>
        <v/>
      </c>
      <c r="K49" s="30">
        <f>IF(OR(I49="",ISTEXT(I49)),"",G49*I49-C49)</f>
        <v/>
      </c>
      <c r="L49" s="29" t="n"/>
    </row>
    <row r="50">
      <c r="A50" s="29" t="n"/>
      <c r="B50" s="29" t="n"/>
      <c r="C50" s="30" t="n">
        <v>0</v>
      </c>
      <c r="D50" s="31" t="n">
        <v>0</v>
      </c>
      <c r="E50" s="30" t="n">
        <v>0</v>
      </c>
      <c r="F50" s="30" t="n">
        <v>0</v>
      </c>
      <c r="G50" s="30">
        <f>E50+F50</f>
        <v/>
      </c>
      <c r="H50" s="32" t="b">
        <v>1</v>
      </c>
      <c r="I50" s="33">
        <f>IF(G50&lt;=0,"",IF(D50=0,C50/G50,IF(G50&lt;=C50*D50/12,"Payment too low",NPER(D50/12,-G50,C50))))</f>
        <v/>
      </c>
      <c r="J50" s="34">
        <f>IFERROR(EDATE(Settings!$B$3,ROUNDUP(I50,0)),"")</f>
        <v/>
      </c>
      <c r="K50" s="30">
        <f>IF(OR(I50="",ISTEXT(I50)),"",G50*I50-C50)</f>
        <v/>
      </c>
      <c r="L50" s="29" t="n"/>
    </row>
    <row r="51">
      <c r="A51" s="29" t="n"/>
      <c r="B51" s="29" t="n"/>
      <c r="C51" s="30" t="n">
        <v>0</v>
      </c>
      <c r="D51" s="31" t="n">
        <v>0</v>
      </c>
      <c r="E51" s="30" t="n">
        <v>0</v>
      </c>
      <c r="F51" s="30" t="n">
        <v>0</v>
      </c>
      <c r="G51" s="30">
        <f>E51+F51</f>
        <v/>
      </c>
      <c r="H51" s="32" t="b">
        <v>1</v>
      </c>
      <c r="I51" s="33">
        <f>IF(G51&lt;=0,"",IF(D51=0,C51/G51,IF(G51&lt;=C51*D51/12,"Payment too low",NPER(D51/12,-G51,C51))))</f>
        <v/>
      </c>
      <c r="J51" s="34">
        <f>IFERROR(EDATE(Settings!$B$3,ROUNDUP(I51,0)),"")</f>
        <v/>
      </c>
      <c r="K51" s="30">
        <f>IF(OR(I51="",ISTEXT(I51)),"",G51*I51-C51)</f>
        <v/>
      </c>
      <c r="L51" s="29" t="n"/>
    </row>
    <row r="52">
      <c r="A52" s="29" t="n"/>
      <c r="B52" s="29" t="n"/>
      <c r="C52" s="30" t="n">
        <v>0</v>
      </c>
      <c r="D52" s="31" t="n">
        <v>0</v>
      </c>
      <c r="E52" s="30" t="n">
        <v>0</v>
      </c>
      <c r="F52" s="30" t="n">
        <v>0</v>
      </c>
      <c r="G52" s="30">
        <f>E52+F52</f>
        <v/>
      </c>
      <c r="H52" s="32" t="b">
        <v>1</v>
      </c>
      <c r="I52" s="33">
        <f>IF(G52&lt;=0,"",IF(D52=0,C52/G52,IF(G52&lt;=C52*D52/12,"Payment too low",NPER(D52/12,-G52,C52))))</f>
        <v/>
      </c>
      <c r="J52" s="34">
        <f>IFERROR(EDATE(Settings!$B$3,ROUNDUP(I52,0)),"")</f>
        <v/>
      </c>
      <c r="K52" s="30">
        <f>IF(OR(I52="",ISTEXT(I52)),"",G52*I52-C52)</f>
        <v/>
      </c>
      <c r="L52" s="29" t="n"/>
    </row>
    <row r="53">
      <c r="A53" s="29" t="n"/>
      <c r="B53" s="29" t="n"/>
      <c r="C53" s="30" t="n">
        <v>0</v>
      </c>
      <c r="D53" s="31" t="n">
        <v>0</v>
      </c>
      <c r="E53" s="30" t="n">
        <v>0</v>
      </c>
      <c r="F53" s="30" t="n">
        <v>0</v>
      </c>
      <c r="G53" s="30">
        <f>E53+F53</f>
        <v/>
      </c>
      <c r="H53" s="32" t="b">
        <v>1</v>
      </c>
      <c r="I53" s="33">
        <f>IF(G53&lt;=0,"",IF(D53=0,C53/G53,IF(G53&lt;=C53*D53/12,"Payment too low",NPER(D53/12,-G53,C53))))</f>
        <v/>
      </c>
      <c r="J53" s="34">
        <f>IFERROR(EDATE(Settings!$B$3,ROUNDUP(I53,0)),"")</f>
        <v/>
      </c>
      <c r="K53" s="30">
        <f>IF(OR(I53="",ISTEXT(I53)),"",G53*I53-C53)</f>
        <v/>
      </c>
      <c r="L53" s="29" t="n"/>
    </row>
    <row r="54">
      <c r="A54" s="29" t="n"/>
      <c r="B54" s="29" t="n"/>
      <c r="C54" s="30" t="n">
        <v>0</v>
      </c>
      <c r="D54" s="31" t="n">
        <v>0</v>
      </c>
      <c r="E54" s="30" t="n">
        <v>0</v>
      </c>
      <c r="F54" s="30" t="n">
        <v>0</v>
      </c>
      <c r="G54" s="30">
        <f>E54+F54</f>
        <v/>
      </c>
      <c r="H54" s="32" t="b">
        <v>1</v>
      </c>
      <c r="I54" s="33">
        <f>IF(G54&lt;=0,"",IF(D54=0,C54/G54,IF(G54&lt;=C54*D54/12,"Payment too low",NPER(D54/12,-G54,C54))))</f>
        <v/>
      </c>
      <c r="J54" s="34">
        <f>IFERROR(EDATE(Settings!$B$3,ROUNDUP(I54,0)),"")</f>
        <v/>
      </c>
      <c r="K54" s="30">
        <f>IF(OR(I54="",ISTEXT(I54)),"",G54*I54-C54)</f>
        <v/>
      </c>
      <c r="L54" s="29" t="n"/>
    </row>
    <row r="57">
      <c r="A57" s="35" t="inlineStr">
        <is>
          <t>Debt Summary</t>
        </is>
      </c>
      <c r="B57" s="6" t="n"/>
      <c r="C57" s="6" t="n"/>
      <c r="D57" s="6" t="n"/>
    </row>
    <row r="58">
      <c r="A58" s="15" t="inlineStr">
        <is>
          <t>Total Debt Balance</t>
        </is>
      </c>
      <c r="B58" s="36">
        <f>SUMIF(H5:H54,TRUE,C5:C54)</f>
        <v/>
      </c>
    </row>
    <row r="59">
      <c r="A59" s="15" t="inlineStr">
        <is>
          <t>Total Monthly Debt Payment</t>
        </is>
      </c>
      <c r="B59" s="36">
        <f>SUMIF(H5:H54,TRUE,G5:G54)</f>
        <v/>
      </c>
    </row>
    <row r="60">
      <c r="A60" s="15" t="inlineStr">
        <is>
          <t>Debt-Free Date (latest payoff)</t>
        </is>
      </c>
      <c r="B60" s="37">
        <f>IFERROR(AGGREGATE(14,6,J5:J54/(H5:H54=TRUE),1),"")</f>
        <v/>
      </c>
    </row>
    <row r="61">
      <c r="A61" s="15" t="inlineStr">
        <is>
          <t>Total Est. Interest (all debts)</t>
        </is>
      </c>
      <c r="B61" s="36">
        <f>SUMIF(H5:H54,TRUE,K5:K54)</f>
        <v/>
      </c>
    </row>
  </sheetData>
  <mergeCells count="3">
    <mergeCell ref="A2:L2"/>
    <mergeCell ref="A57:D57"/>
    <mergeCell ref="A1:L1"/>
  </mergeCells>
  <dataValidations count="1">
    <dataValidation sqref="H5 H6 H7 H8 H9 H10 H11 H12 H13 H14 H15 H16 H17 H18 H19 H20 H21 H22 H23 H24 H25 H26 H27 H28 H29 H30 H31 H32 H33 H34 H35 H36 H37 H38 H39 H40 H41 H42 H43 H44 H45 H46 H47 H48 H49 H50 H51 H52 H53 H54" showDropDown="0" showInputMessage="0" showErrorMessage="0" allowBlank="1" type="list">
      <formula1>"TRUE,FALSE"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1"/>
  <sheetViews>
    <sheetView workbookViewId="0">
      <pane ySplit="4" topLeftCell="A5" activePane="bottomLeft" state="frozen"/>
      <selection pane="bottomLeft" activeCell="A1" sqref="A1"/>
    </sheetView>
  </sheetViews>
  <sheetFormatPr baseColWidth="8" defaultRowHeight="15" outlineLevelCol="0"/>
  <cols>
    <col width="24" customWidth="1" min="1" max="1"/>
    <col width="14" customWidth="1" min="2" max="2"/>
    <col width="16" customWidth="1" min="3" max="3"/>
    <col width="16" customWidth="1" min="4" max="4"/>
    <col width="18" customWidth="1" min="5" max="5"/>
    <col width="14" customWidth="1" min="6" max="6"/>
    <col width="14" customWidth="1" min="7" max="7"/>
    <col width="14" customWidth="1" min="8" max="8"/>
    <col width="26" customWidth="1" min="9" max="9"/>
  </cols>
  <sheetData>
    <row r="1" ht="32" customHeight="1">
      <c r="A1" s="1" t="inlineStr">
        <is>
          <t>Savings Goals (time-to-goal metrics)</t>
        </is>
      </c>
    </row>
    <row r="2">
      <c r="A2" s="10" t="inlineStr">
        <is>
          <t>Add goals below (e.g., Emergency Fund, Vacation, Down Payment). Dashboard will summarize your progress.</t>
        </is>
      </c>
    </row>
    <row r="4">
      <c r="A4" s="28" t="inlineStr">
        <is>
          <t>Goal Name</t>
        </is>
      </c>
      <c r="B4" s="28" t="inlineStr">
        <is>
          <t>Type</t>
        </is>
      </c>
      <c r="C4" s="28" t="inlineStr">
        <is>
          <t>Target Amount</t>
        </is>
      </c>
      <c r="D4" s="28" t="inlineStr">
        <is>
          <t>Current Saved</t>
        </is>
      </c>
      <c r="E4" s="28" t="inlineStr">
        <is>
          <t>Monthly Contribution</t>
        </is>
      </c>
      <c r="F4" s="28" t="inlineStr">
        <is>
          <t>Remaining</t>
        </is>
      </c>
      <c r="G4" s="28" t="inlineStr">
        <is>
          <t>Months to Goal</t>
        </is>
      </c>
      <c r="H4" s="28" t="inlineStr">
        <is>
          <t>Goal Date</t>
        </is>
      </c>
      <c r="I4" s="28" t="inlineStr">
        <is>
          <t>Notes</t>
        </is>
      </c>
    </row>
    <row r="5">
      <c r="A5" s="29" t="n"/>
      <c r="B5" s="29" t="n"/>
      <c r="C5" s="30" t="n">
        <v>0</v>
      </c>
      <c r="D5" s="30" t="n">
        <v>0</v>
      </c>
      <c r="E5" s="30" t="n">
        <v>0</v>
      </c>
      <c r="F5" s="30">
        <f>MAX(0,C5-D5)</f>
        <v/>
      </c>
      <c r="G5" s="33">
        <f>IF(E5&lt;=0,"",F5/E5)</f>
        <v/>
      </c>
      <c r="H5" s="34">
        <f>IFERROR(EDATE(Settings!$B$3,ROUNDUP(G5,0)),"")</f>
        <v/>
      </c>
      <c r="I5" s="29" t="n"/>
    </row>
    <row r="6">
      <c r="A6" s="29" t="n"/>
      <c r="B6" s="29" t="n"/>
      <c r="C6" s="30" t="n">
        <v>0</v>
      </c>
      <c r="D6" s="30" t="n">
        <v>0</v>
      </c>
      <c r="E6" s="30" t="n">
        <v>0</v>
      </c>
      <c r="F6" s="30">
        <f>MAX(0,C6-D6)</f>
        <v/>
      </c>
      <c r="G6" s="33">
        <f>IF(E6&lt;=0,"",F6/E6)</f>
        <v/>
      </c>
      <c r="H6" s="34">
        <f>IFERROR(EDATE(Settings!$B$3,ROUNDUP(G6,0)),"")</f>
        <v/>
      </c>
      <c r="I6" s="29" t="n"/>
    </row>
    <row r="7">
      <c r="A7" s="29" t="n"/>
      <c r="B7" s="29" t="n"/>
      <c r="C7" s="30" t="n">
        <v>0</v>
      </c>
      <c r="D7" s="30" t="n">
        <v>0</v>
      </c>
      <c r="E7" s="30" t="n">
        <v>0</v>
      </c>
      <c r="F7" s="30">
        <f>MAX(0,C7-D7)</f>
        <v/>
      </c>
      <c r="G7" s="33">
        <f>IF(E7&lt;=0,"",F7/E7)</f>
        <v/>
      </c>
      <c r="H7" s="34">
        <f>IFERROR(EDATE(Settings!$B$3,ROUNDUP(G7,0)),"")</f>
        <v/>
      </c>
      <c r="I7" s="29" t="n"/>
    </row>
    <row r="8">
      <c r="A8" s="29" t="n"/>
      <c r="B8" s="29" t="n"/>
      <c r="C8" s="30" t="n">
        <v>0</v>
      </c>
      <c r="D8" s="30" t="n">
        <v>0</v>
      </c>
      <c r="E8" s="30" t="n">
        <v>0</v>
      </c>
      <c r="F8" s="30">
        <f>MAX(0,C8-D8)</f>
        <v/>
      </c>
      <c r="G8" s="33">
        <f>IF(E8&lt;=0,"",F8/E8)</f>
        <v/>
      </c>
      <c r="H8" s="34">
        <f>IFERROR(EDATE(Settings!$B$3,ROUNDUP(G8,0)),"")</f>
        <v/>
      </c>
      <c r="I8" s="29" t="n"/>
    </row>
    <row r="9">
      <c r="A9" s="29" t="n"/>
      <c r="B9" s="29" t="n"/>
      <c r="C9" s="30" t="n">
        <v>0</v>
      </c>
      <c r="D9" s="30" t="n">
        <v>0</v>
      </c>
      <c r="E9" s="30" t="n">
        <v>0</v>
      </c>
      <c r="F9" s="30">
        <f>MAX(0,C9-D9)</f>
        <v/>
      </c>
      <c r="G9" s="33">
        <f>IF(E9&lt;=0,"",F9/E9)</f>
        <v/>
      </c>
      <c r="H9" s="34">
        <f>IFERROR(EDATE(Settings!$B$3,ROUNDUP(G9,0)),"")</f>
        <v/>
      </c>
      <c r="I9" s="29" t="n"/>
    </row>
    <row r="10">
      <c r="A10" s="29" t="n"/>
      <c r="B10" s="29" t="n"/>
      <c r="C10" s="30" t="n">
        <v>0</v>
      </c>
      <c r="D10" s="30" t="n">
        <v>0</v>
      </c>
      <c r="E10" s="30" t="n">
        <v>0</v>
      </c>
      <c r="F10" s="30">
        <f>MAX(0,C10-D10)</f>
        <v/>
      </c>
      <c r="G10" s="33">
        <f>IF(E10&lt;=0,"",F10/E10)</f>
        <v/>
      </c>
      <c r="H10" s="34">
        <f>IFERROR(EDATE(Settings!$B$3,ROUNDUP(G10,0)),"")</f>
        <v/>
      </c>
      <c r="I10" s="29" t="n"/>
    </row>
    <row r="11">
      <c r="A11" s="29" t="n"/>
      <c r="B11" s="29" t="n"/>
      <c r="C11" s="30" t="n">
        <v>0</v>
      </c>
      <c r="D11" s="30" t="n">
        <v>0</v>
      </c>
      <c r="E11" s="30" t="n">
        <v>0</v>
      </c>
      <c r="F11" s="30">
        <f>MAX(0,C11-D11)</f>
        <v/>
      </c>
      <c r="G11" s="33">
        <f>IF(E11&lt;=0,"",F11/E11)</f>
        <v/>
      </c>
      <c r="H11" s="34">
        <f>IFERROR(EDATE(Settings!$B$3,ROUNDUP(G11,0)),"")</f>
        <v/>
      </c>
      <c r="I11" s="29" t="n"/>
    </row>
    <row r="12">
      <c r="A12" s="29" t="n"/>
      <c r="B12" s="29" t="n"/>
      <c r="C12" s="30" t="n">
        <v>0</v>
      </c>
      <c r="D12" s="30" t="n">
        <v>0</v>
      </c>
      <c r="E12" s="30" t="n">
        <v>0</v>
      </c>
      <c r="F12" s="30">
        <f>MAX(0,C12-D12)</f>
        <v/>
      </c>
      <c r="G12" s="33">
        <f>IF(E12&lt;=0,"",F12/E12)</f>
        <v/>
      </c>
      <c r="H12" s="34">
        <f>IFERROR(EDATE(Settings!$B$3,ROUNDUP(G12,0)),"")</f>
        <v/>
      </c>
      <c r="I12" s="29" t="n"/>
    </row>
    <row r="13">
      <c r="A13" s="29" t="n"/>
      <c r="B13" s="29" t="n"/>
      <c r="C13" s="30" t="n">
        <v>0</v>
      </c>
      <c r="D13" s="30" t="n">
        <v>0</v>
      </c>
      <c r="E13" s="30" t="n">
        <v>0</v>
      </c>
      <c r="F13" s="30">
        <f>MAX(0,C13-D13)</f>
        <v/>
      </c>
      <c r="G13" s="33">
        <f>IF(E13&lt;=0,"",F13/E13)</f>
        <v/>
      </c>
      <c r="H13" s="34">
        <f>IFERROR(EDATE(Settings!$B$3,ROUNDUP(G13,0)),"")</f>
        <v/>
      </c>
      <c r="I13" s="29" t="n"/>
    </row>
    <row r="14">
      <c r="A14" s="29" t="n"/>
      <c r="B14" s="29" t="n"/>
      <c r="C14" s="30" t="n">
        <v>0</v>
      </c>
      <c r="D14" s="30" t="n">
        <v>0</v>
      </c>
      <c r="E14" s="30" t="n">
        <v>0</v>
      </c>
      <c r="F14" s="30">
        <f>MAX(0,C14-D14)</f>
        <v/>
      </c>
      <c r="G14" s="33">
        <f>IF(E14&lt;=0,"",F14/E14)</f>
        <v/>
      </c>
      <c r="H14" s="34">
        <f>IFERROR(EDATE(Settings!$B$3,ROUNDUP(G14,0)),"")</f>
        <v/>
      </c>
      <c r="I14" s="29" t="n"/>
    </row>
    <row r="15">
      <c r="A15" s="29" t="n"/>
      <c r="B15" s="29" t="n"/>
      <c r="C15" s="30" t="n">
        <v>0</v>
      </c>
      <c r="D15" s="30" t="n">
        <v>0</v>
      </c>
      <c r="E15" s="30" t="n">
        <v>0</v>
      </c>
      <c r="F15" s="30">
        <f>MAX(0,C15-D15)</f>
        <v/>
      </c>
      <c r="G15" s="33">
        <f>IF(E15&lt;=0,"",F15/E15)</f>
        <v/>
      </c>
      <c r="H15" s="34">
        <f>IFERROR(EDATE(Settings!$B$3,ROUNDUP(G15,0)),"")</f>
        <v/>
      </c>
      <c r="I15" s="29" t="n"/>
    </row>
    <row r="16">
      <c r="A16" s="29" t="n"/>
      <c r="B16" s="29" t="n"/>
      <c r="C16" s="30" t="n">
        <v>0</v>
      </c>
      <c r="D16" s="30" t="n">
        <v>0</v>
      </c>
      <c r="E16" s="30" t="n">
        <v>0</v>
      </c>
      <c r="F16" s="30">
        <f>MAX(0,C16-D16)</f>
        <v/>
      </c>
      <c r="G16" s="33">
        <f>IF(E16&lt;=0,"",F16/E16)</f>
        <v/>
      </c>
      <c r="H16" s="34">
        <f>IFERROR(EDATE(Settings!$B$3,ROUNDUP(G16,0)),"")</f>
        <v/>
      </c>
      <c r="I16" s="29" t="n"/>
    </row>
    <row r="17">
      <c r="A17" s="29" t="n"/>
      <c r="B17" s="29" t="n"/>
      <c r="C17" s="30" t="n">
        <v>0</v>
      </c>
      <c r="D17" s="30" t="n">
        <v>0</v>
      </c>
      <c r="E17" s="30" t="n">
        <v>0</v>
      </c>
      <c r="F17" s="30">
        <f>MAX(0,C17-D17)</f>
        <v/>
      </c>
      <c r="G17" s="33">
        <f>IF(E17&lt;=0,"",F17/E17)</f>
        <v/>
      </c>
      <c r="H17" s="34">
        <f>IFERROR(EDATE(Settings!$B$3,ROUNDUP(G17,0)),"")</f>
        <v/>
      </c>
      <c r="I17" s="29" t="n"/>
    </row>
    <row r="18">
      <c r="A18" s="29" t="n"/>
      <c r="B18" s="29" t="n"/>
      <c r="C18" s="30" t="n">
        <v>0</v>
      </c>
      <c r="D18" s="30" t="n">
        <v>0</v>
      </c>
      <c r="E18" s="30" t="n">
        <v>0</v>
      </c>
      <c r="F18" s="30">
        <f>MAX(0,C18-D18)</f>
        <v/>
      </c>
      <c r="G18" s="33">
        <f>IF(E18&lt;=0,"",F18/E18)</f>
        <v/>
      </c>
      <c r="H18" s="34">
        <f>IFERROR(EDATE(Settings!$B$3,ROUNDUP(G18,0)),"")</f>
        <v/>
      </c>
      <c r="I18" s="29" t="n"/>
    </row>
    <row r="19">
      <c r="A19" s="29" t="n"/>
      <c r="B19" s="29" t="n"/>
      <c r="C19" s="30" t="n">
        <v>0</v>
      </c>
      <c r="D19" s="30" t="n">
        <v>0</v>
      </c>
      <c r="E19" s="30" t="n">
        <v>0</v>
      </c>
      <c r="F19" s="30">
        <f>MAX(0,C19-D19)</f>
        <v/>
      </c>
      <c r="G19" s="33">
        <f>IF(E19&lt;=0,"",F19/E19)</f>
        <v/>
      </c>
      <c r="H19" s="34">
        <f>IFERROR(EDATE(Settings!$B$3,ROUNDUP(G19,0)),"")</f>
        <v/>
      </c>
      <c r="I19" s="29" t="n"/>
    </row>
    <row r="20">
      <c r="A20" s="29" t="n"/>
      <c r="B20" s="29" t="n"/>
      <c r="C20" s="30" t="n">
        <v>0</v>
      </c>
      <c r="D20" s="30" t="n">
        <v>0</v>
      </c>
      <c r="E20" s="30" t="n">
        <v>0</v>
      </c>
      <c r="F20" s="30">
        <f>MAX(0,C20-D20)</f>
        <v/>
      </c>
      <c r="G20" s="33">
        <f>IF(E20&lt;=0,"",F20/E20)</f>
        <v/>
      </c>
      <c r="H20" s="34">
        <f>IFERROR(EDATE(Settings!$B$3,ROUNDUP(G20,0)),"")</f>
        <v/>
      </c>
      <c r="I20" s="29" t="n"/>
    </row>
    <row r="21">
      <c r="A21" s="29" t="n"/>
      <c r="B21" s="29" t="n"/>
      <c r="C21" s="30" t="n">
        <v>0</v>
      </c>
      <c r="D21" s="30" t="n">
        <v>0</v>
      </c>
      <c r="E21" s="30" t="n">
        <v>0</v>
      </c>
      <c r="F21" s="30">
        <f>MAX(0,C21-D21)</f>
        <v/>
      </c>
      <c r="G21" s="33">
        <f>IF(E21&lt;=0,"",F21/E21)</f>
        <v/>
      </c>
      <c r="H21" s="34">
        <f>IFERROR(EDATE(Settings!$B$3,ROUNDUP(G21,0)),"")</f>
        <v/>
      </c>
      <c r="I21" s="29" t="n"/>
    </row>
    <row r="22">
      <c r="A22" s="29" t="n"/>
      <c r="B22" s="29" t="n"/>
      <c r="C22" s="30" t="n">
        <v>0</v>
      </c>
      <c r="D22" s="30" t="n">
        <v>0</v>
      </c>
      <c r="E22" s="30" t="n">
        <v>0</v>
      </c>
      <c r="F22" s="30">
        <f>MAX(0,C22-D22)</f>
        <v/>
      </c>
      <c r="G22" s="33">
        <f>IF(E22&lt;=0,"",F22/E22)</f>
        <v/>
      </c>
      <c r="H22" s="34">
        <f>IFERROR(EDATE(Settings!$B$3,ROUNDUP(G22,0)),"")</f>
        <v/>
      </c>
      <c r="I22" s="29" t="n"/>
    </row>
    <row r="23">
      <c r="A23" s="29" t="n"/>
      <c r="B23" s="29" t="n"/>
      <c r="C23" s="30" t="n">
        <v>0</v>
      </c>
      <c r="D23" s="30" t="n">
        <v>0</v>
      </c>
      <c r="E23" s="30" t="n">
        <v>0</v>
      </c>
      <c r="F23" s="30">
        <f>MAX(0,C23-D23)</f>
        <v/>
      </c>
      <c r="G23" s="33">
        <f>IF(E23&lt;=0,"",F23/E23)</f>
        <v/>
      </c>
      <c r="H23" s="34">
        <f>IFERROR(EDATE(Settings!$B$3,ROUNDUP(G23,0)),"")</f>
        <v/>
      </c>
      <c r="I23" s="29" t="n"/>
    </row>
    <row r="24">
      <c r="A24" s="29" t="n"/>
      <c r="B24" s="29" t="n"/>
      <c r="C24" s="30" t="n">
        <v>0</v>
      </c>
      <c r="D24" s="30" t="n">
        <v>0</v>
      </c>
      <c r="E24" s="30" t="n">
        <v>0</v>
      </c>
      <c r="F24" s="30">
        <f>MAX(0,C24-D24)</f>
        <v/>
      </c>
      <c r="G24" s="33">
        <f>IF(E24&lt;=0,"",F24/E24)</f>
        <v/>
      </c>
      <c r="H24" s="34">
        <f>IFERROR(EDATE(Settings!$B$3,ROUNDUP(G24,0)),"")</f>
        <v/>
      </c>
      <c r="I24" s="29" t="n"/>
    </row>
    <row r="25">
      <c r="A25" s="29" t="n"/>
      <c r="B25" s="29" t="n"/>
      <c r="C25" s="30" t="n">
        <v>0</v>
      </c>
      <c r="D25" s="30" t="n">
        <v>0</v>
      </c>
      <c r="E25" s="30" t="n">
        <v>0</v>
      </c>
      <c r="F25" s="30">
        <f>MAX(0,C25-D25)</f>
        <v/>
      </c>
      <c r="G25" s="33">
        <f>IF(E25&lt;=0,"",F25/E25)</f>
        <v/>
      </c>
      <c r="H25" s="34">
        <f>IFERROR(EDATE(Settings!$B$3,ROUNDUP(G25,0)),"")</f>
        <v/>
      </c>
      <c r="I25" s="29" t="n"/>
    </row>
    <row r="26">
      <c r="A26" s="29" t="n"/>
      <c r="B26" s="29" t="n"/>
      <c r="C26" s="30" t="n">
        <v>0</v>
      </c>
      <c r="D26" s="30" t="n">
        <v>0</v>
      </c>
      <c r="E26" s="30" t="n">
        <v>0</v>
      </c>
      <c r="F26" s="30">
        <f>MAX(0,C26-D26)</f>
        <v/>
      </c>
      <c r="G26" s="33">
        <f>IF(E26&lt;=0,"",F26/E26)</f>
        <v/>
      </c>
      <c r="H26" s="34">
        <f>IFERROR(EDATE(Settings!$B$3,ROUNDUP(G26,0)),"")</f>
        <v/>
      </c>
      <c r="I26" s="29" t="n"/>
    </row>
    <row r="27">
      <c r="A27" s="29" t="n"/>
      <c r="B27" s="29" t="n"/>
      <c r="C27" s="30" t="n">
        <v>0</v>
      </c>
      <c r="D27" s="30" t="n">
        <v>0</v>
      </c>
      <c r="E27" s="30" t="n">
        <v>0</v>
      </c>
      <c r="F27" s="30">
        <f>MAX(0,C27-D27)</f>
        <v/>
      </c>
      <c r="G27" s="33">
        <f>IF(E27&lt;=0,"",F27/E27)</f>
        <v/>
      </c>
      <c r="H27" s="34">
        <f>IFERROR(EDATE(Settings!$B$3,ROUNDUP(G27,0)),"")</f>
        <v/>
      </c>
      <c r="I27" s="29" t="n"/>
    </row>
    <row r="28">
      <c r="A28" s="29" t="n"/>
      <c r="B28" s="29" t="n"/>
      <c r="C28" s="30" t="n">
        <v>0</v>
      </c>
      <c r="D28" s="30" t="n">
        <v>0</v>
      </c>
      <c r="E28" s="30" t="n">
        <v>0</v>
      </c>
      <c r="F28" s="30">
        <f>MAX(0,C28-D28)</f>
        <v/>
      </c>
      <c r="G28" s="33">
        <f>IF(E28&lt;=0,"",F28/E28)</f>
        <v/>
      </c>
      <c r="H28" s="34">
        <f>IFERROR(EDATE(Settings!$B$3,ROUNDUP(G28,0)),"")</f>
        <v/>
      </c>
      <c r="I28" s="29" t="n"/>
    </row>
    <row r="29">
      <c r="A29" s="29" t="n"/>
      <c r="B29" s="29" t="n"/>
      <c r="C29" s="30" t="n">
        <v>0</v>
      </c>
      <c r="D29" s="30" t="n">
        <v>0</v>
      </c>
      <c r="E29" s="30" t="n">
        <v>0</v>
      </c>
      <c r="F29" s="30">
        <f>MAX(0,C29-D29)</f>
        <v/>
      </c>
      <c r="G29" s="33">
        <f>IF(E29&lt;=0,"",F29/E29)</f>
        <v/>
      </c>
      <c r="H29" s="34">
        <f>IFERROR(EDATE(Settings!$B$3,ROUNDUP(G29,0)),"")</f>
        <v/>
      </c>
      <c r="I29" s="29" t="n"/>
    </row>
    <row r="30">
      <c r="A30" s="29" t="n"/>
      <c r="B30" s="29" t="n"/>
      <c r="C30" s="30" t="n">
        <v>0</v>
      </c>
      <c r="D30" s="30" t="n">
        <v>0</v>
      </c>
      <c r="E30" s="30" t="n">
        <v>0</v>
      </c>
      <c r="F30" s="30">
        <f>MAX(0,C30-D30)</f>
        <v/>
      </c>
      <c r="G30" s="33">
        <f>IF(E30&lt;=0,"",F30/E30)</f>
        <v/>
      </c>
      <c r="H30" s="34">
        <f>IFERROR(EDATE(Settings!$B$3,ROUNDUP(G30,0)),"")</f>
        <v/>
      </c>
      <c r="I30" s="29" t="n"/>
    </row>
    <row r="31">
      <c r="A31" s="29" t="n"/>
      <c r="B31" s="29" t="n"/>
      <c r="C31" s="30" t="n">
        <v>0</v>
      </c>
      <c r="D31" s="30" t="n">
        <v>0</v>
      </c>
      <c r="E31" s="30" t="n">
        <v>0</v>
      </c>
      <c r="F31" s="30">
        <f>MAX(0,C31-D31)</f>
        <v/>
      </c>
      <c r="G31" s="33">
        <f>IF(E31&lt;=0,"",F31/E31)</f>
        <v/>
      </c>
      <c r="H31" s="34">
        <f>IFERROR(EDATE(Settings!$B$3,ROUNDUP(G31,0)),"")</f>
        <v/>
      </c>
      <c r="I31" s="29" t="n"/>
    </row>
    <row r="32">
      <c r="A32" s="29" t="n"/>
      <c r="B32" s="29" t="n"/>
      <c r="C32" s="30" t="n">
        <v>0</v>
      </c>
      <c r="D32" s="30" t="n">
        <v>0</v>
      </c>
      <c r="E32" s="30" t="n">
        <v>0</v>
      </c>
      <c r="F32" s="30">
        <f>MAX(0,C32-D32)</f>
        <v/>
      </c>
      <c r="G32" s="33">
        <f>IF(E32&lt;=0,"",F32/E32)</f>
        <v/>
      </c>
      <c r="H32" s="34">
        <f>IFERROR(EDATE(Settings!$B$3,ROUNDUP(G32,0)),"")</f>
        <v/>
      </c>
      <c r="I32" s="29" t="n"/>
    </row>
    <row r="33">
      <c r="A33" s="29" t="n"/>
      <c r="B33" s="29" t="n"/>
      <c r="C33" s="30" t="n">
        <v>0</v>
      </c>
      <c r="D33" s="30" t="n">
        <v>0</v>
      </c>
      <c r="E33" s="30" t="n">
        <v>0</v>
      </c>
      <c r="F33" s="30">
        <f>MAX(0,C33-D33)</f>
        <v/>
      </c>
      <c r="G33" s="33">
        <f>IF(E33&lt;=0,"",F33/E33)</f>
        <v/>
      </c>
      <c r="H33" s="34">
        <f>IFERROR(EDATE(Settings!$B$3,ROUNDUP(G33,0)),"")</f>
        <v/>
      </c>
      <c r="I33" s="29" t="n"/>
    </row>
    <row r="34">
      <c r="A34" s="29" t="n"/>
      <c r="B34" s="29" t="n"/>
      <c r="C34" s="30" t="n">
        <v>0</v>
      </c>
      <c r="D34" s="30" t="n">
        <v>0</v>
      </c>
      <c r="E34" s="30" t="n">
        <v>0</v>
      </c>
      <c r="F34" s="30">
        <f>MAX(0,C34-D34)</f>
        <v/>
      </c>
      <c r="G34" s="33">
        <f>IF(E34&lt;=0,"",F34/E34)</f>
        <v/>
      </c>
      <c r="H34" s="34">
        <f>IFERROR(EDATE(Settings!$B$3,ROUNDUP(G34,0)),"")</f>
        <v/>
      </c>
      <c r="I34" s="29" t="n"/>
    </row>
    <row r="35">
      <c r="A35" s="29" t="n"/>
      <c r="B35" s="29" t="n"/>
      <c r="C35" s="30" t="n">
        <v>0</v>
      </c>
      <c r="D35" s="30" t="n">
        <v>0</v>
      </c>
      <c r="E35" s="30" t="n">
        <v>0</v>
      </c>
      <c r="F35" s="30">
        <f>MAX(0,C35-D35)</f>
        <v/>
      </c>
      <c r="G35" s="33">
        <f>IF(E35&lt;=0,"",F35/E35)</f>
        <v/>
      </c>
      <c r="H35" s="34">
        <f>IFERROR(EDATE(Settings!$B$3,ROUNDUP(G35,0)),"")</f>
        <v/>
      </c>
      <c r="I35" s="29" t="n"/>
    </row>
    <row r="36">
      <c r="A36" s="29" t="n"/>
      <c r="B36" s="29" t="n"/>
      <c r="C36" s="30" t="n">
        <v>0</v>
      </c>
      <c r="D36" s="30" t="n">
        <v>0</v>
      </c>
      <c r="E36" s="30" t="n">
        <v>0</v>
      </c>
      <c r="F36" s="30">
        <f>MAX(0,C36-D36)</f>
        <v/>
      </c>
      <c r="G36" s="33">
        <f>IF(E36&lt;=0,"",F36/E36)</f>
        <v/>
      </c>
      <c r="H36" s="34">
        <f>IFERROR(EDATE(Settings!$B$3,ROUNDUP(G36,0)),"")</f>
        <v/>
      </c>
      <c r="I36" s="29" t="n"/>
    </row>
    <row r="37">
      <c r="A37" s="29" t="n"/>
      <c r="B37" s="29" t="n"/>
      <c r="C37" s="30" t="n">
        <v>0</v>
      </c>
      <c r="D37" s="30" t="n">
        <v>0</v>
      </c>
      <c r="E37" s="30" t="n">
        <v>0</v>
      </c>
      <c r="F37" s="30">
        <f>MAX(0,C37-D37)</f>
        <v/>
      </c>
      <c r="G37" s="33">
        <f>IF(E37&lt;=0,"",F37/E37)</f>
        <v/>
      </c>
      <c r="H37" s="34">
        <f>IFERROR(EDATE(Settings!$B$3,ROUNDUP(G37,0)),"")</f>
        <v/>
      </c>
      <c r="I37" s="29" t="n"/>
    </row>
    <row r="38">
      <c r="A38" s="29" t="n"/>
      <c r="B38" s="29" t="n"/>
      <c r="C38" s="30" t="n">
        <v>0</v>
      </c>
      <c r="D38" s="30" t="n">
        <v>0</v>
      </c>
      <c r="E38" s="30" t="n">
        <v>0</v>
      </c>
      <c r="F38" s="30">
        <f>MAX(0,C38-D38)</f>
        <v/>
      </c>
      <c r="G38" s="33">
        <f>IF(E38&lt;=0,"",F38/E38)</f>
        <v/>
      </c>
      <c r="H38" s="34">
        <f>IFERROR(EDATE(Settings!$B$3,ROUNDUP(G38,0)),"")</f>
        <v/>
      </c>
      <c r="I38" s="29" t="n"/>
    </row>
    <row r="39">
      <c r="A39" s="29" t="n"/>
      <c r="B39" s="29" t="n"/>
      <c r="C39" s="30" t="n">
        <v>0</v>
      </c>
      <c r="D39" s="30" t="n">
        <v>0</v>
      </c>
      <c r="E39" s="30" t="n">
        <v>0</v>
      </c>
      <c r="F39" s="30">
        <f>MAX(0,C39-D39)</f>
        <v/>
      </c>
      <c r="G39" s="33">
        <f>IF(E39&lt;=0,"",F39/E39)</f>
        <v/>
      </c>
      <c r="H39" s="34">
        <f>IFERROR(EDATE(Settings!$B$3,ROUNDUP(G39,0)),"")</f>
        <v/>
      </c>
      <c r="I39" s="29" t="n"/>
    </row>
    <row r="40">
      <c r="A40" s="29" t="n"/>
      <c r="B40" s="29" t="n"/>
      <c r="C40" s="30" t="n">
        <v>0</v>
      </c>
      <c r="D40" s="30" t="n">
        <v>0</v>
      </c>
      <c r="E40" s="30" t="n">
        <v>0</v>
      </c>
      <c r="F40" s="30">
        <f>MAX(0,C40-D40)</f>
        <v/>
      </c>
      <c r="G40" s="33">
        <f>IF(E40&lt;=0,"",F40/E40)</f>
        <v/>
      </c>
      <c r="H40" s="34">
        <f>IFERROR(EDATE(Settings!$B$3,ROUNDUP(G40,0)),"")</f>
        <v/>
      </c>
      <c r="I40" s="29" t="n"/>
    </row>
    <row r="41">
      <c r="A41" s="29" t="n"/>
      <c r="B41" s="29" t="n"/>
      <c r="C41" s="30" t="n">
        <v>0</v>
      </c>
      <c r="D41" s="30" t="n">
        <v>0</v>
      </c>
      <c r="E41" s="30" t="n">
        <v>0</v>
      </c>
      <c r="F41" s="30">
        <f>MAX(0,C41-D41)</f>
        <v/>
      </c>
      <c r="G41" s="33">
        <f>IF(E41&lt;=0,"",F41/E41)</f>
        <v/>
      </c>
      <c r="H41" s="34">
        <f>IFERROR(EDATE(Settings!$B$3,ROUNDUP(G41,0)),"")</f>
        <v/>
      </c>
      <c r="I41" s="29" t="n"/>
    </row>
    <row r="42">
      <c r="A42" s="29" t="n"/>
      <c r="B42" s="29" t="n"/>
      <c r="C42" s="30" t="n">
        <v>0</v>
      </c>
      <c r="D42" s="30" t="n">
        <v>0</v>
      </c>
      <c r="E42" s="30" t="n">
        <v>0</v>
      </c>
      <c r="F42" s="30">
        <f>MAX(0,C42-D42)</f>
        <v/>
      </c>
      <c r="G42" s="33">
        <f>IF(E42&lt;=0,"",F42/E42)</f>
        <v/>
      </c>
      <c r="H42" s="34">
        <f>IFERROR(EDATE(Settings!$B$3,ROUNDUP(G42,0)),"")</f>
        <v/>
      </c>
      <c r="I42" s="29" t="n"/>
    </row>
    <row r="43">
      <c r="A43" s="29" t="n"/>
      <c r="B43" s="29" t="n"/>
      <c r="C43" s="30" t="n">
        <v>0</v>
      </c>
      <c r="D43" s="30" t="n">
        <v>0</v>
      </c>
      <c r="E43" s="30" t="n">
        <v>0</v>
      </c>
      <c r="F43" s="30">
        <f>MAX(0,C43-D43)</f>
        <v/>
      </c>
      <c r="G43" s="33">
        <f>IF(E43&lt;=0,"",F43/E43)</f>
        <v/>
      </c>
      <c r="H43" s="34">
        <f>IFERROR(EDATE(Settings!$B$3,ROUNDUP(G43,0)),"")</f>
        <v/>
      </c>
      <c r="I43" s="29" t="n"/>
    </row>
    <row r="44">
      <c r="A44" s="29" t="n"/>
      <c r="B44" s="29" t="n"/>
      <c r="C44" s="30" t="n">
        <v>0</v>
      </c>
      <c r="D44" s="30" t="n">
        <v>0</v>
      </c>
      <c r="E44" s="30" t="n">
        <v>0</v>
      </c>
      <c r="F44" s="30">
        <f>MAX(0,C44-D44)</f>
        <v/>
      </c>
      <c r="G44" s="33">
        <f>IF(E44&lt;=0,"",F44/E44)</f>
        <v/>
      </c>
      <c r="H44" s="34">
        <f>IFERROR(EDATE(Settings!$B$3,ROUNDUP(G44,0)),"")</f>
        <v/>
      </c>
      <c r="I44" s="29" t="n"/>
    </row>
    <row r="47">
      <c r="A47" s="38" t="inlineStr">
        <is>
          <t>Goals Summary</t>
        </is>
      </c>
      <c r="B47" s="6" t="n"/>
      <c r="C47" s="6" t="n"/>
      <c r="D47" s="6" t="n"/>
    </row>
    <row r="48">
      <c r="A48" s="15" t="inlineStr">
        <is>
          <t>Total Target</t>
        </is>
      </c>
      <c r="B48" s="36">
        <f>SUM(C5:C44)</f>
        <v/>
      </c>
    </row>
    <row r="49">
      <c r="A49" s="15" t="inlineStr">
        <is>
          <t>Total Saved</t>
        </is>
      </c>
      <c r="B49" s="36">
        <f>SUM(D5:D44)</f>
        <v/>
      </c>
    </row>
    <row r="50">
      <c r="A50" s="15" t="inlineStr">
        <is>
          <t>Total Monthly Contributions</t>
        </is>
      </c>
      <c r="B50" s="36">
        <f>SUM(E5:E44)</f>
        <v/>
      </c>
    </row>
    <row r="51">
      <c r="A51" s="15" t="inlineStr">
        <is>
          <t>Next Goal Date (soonest)</t>
        </is>
      </c>
      <c r="B51" s="37">
        <f>IFERROR(AGGREGATE(15,6,H5:H44/(F5:F44&gt;0)/(E5:E44&gt;0),1),"")</f>
        <v/>
      </c>
    </row>
  </sheetData>
  <mergeCells count="3">
    <mergeCell ref="A1:I1"/>
    <mergeCell ref="A47:D47"/>
    <mergeCell ref="A2:I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8"/>
  <sheetViews>
    <sheetView workbookViewId="0">
      <pane ySplit="5" topLeftCell="A6" activePane="bottomLeft" state="frozen"/>
      <selection pane="bottomLeft" activeCell="A1" sqref="A1"/>
    </sheetView>
  </sheetViews>
  <sheetFormatPr baseColWidth="8" defaultRowHeight="15" outlineLevelCol="0"/>
  <cols>
    <col width="22" customWidth="1" min="1" max="1"/>
    <col width="18" customWidth="1" min="2" max="2"/>
    <col width="2" customWidth="1" min="3" max="3"/>
    <col width="22" customWidth="1" min="4" max="4"/>
    <col width="18" customWidth="1" min="5" max="5"/>
    <col width="2" customWidth="1" min="6" max="6"/>
    <col width="22" customWidth="1" min="7" max="7"/>
    <col width="18" customWidth="1" min="8" max="8"/>
    <col width="2" customWidth="1" min="9" max="9"/>
    <col width="22" customWidth="1" min="10" max="10"/>
    <col width="18" customWidth="1" min="11" max="11"/>
  </cols>
  <sheetData>
    <row r="1" ht="32" customHeight="1">
      <c r="A1" s="1" t="inlineStr">
        <is>
          <t>Dashboard (Charts &amp; Insights)</t>
        </is>
      </c>
    </row>
    <row r="3">
      <c r="A3" s="39" t="inlineStr">
        <is>
          <t>Plan Start Date</t>
        </is>
      </c>
      <c r="B3" s="5">
        <f>Settings!B3</f>
        <v/>
      </c>
      <c r="D3" s="39" t="inlineStr">
        <is>
          <t>Selected Month</t>
        </is>
      </c>
      <c r="E3" s="6">
        <f>Settings!B4</f>
        <v/>
      </c>
      <c r="G3" s="39" t="inlineStr">
        <is>
          <t>Year</t>
        </is>
      </c>
      <c r="H3" s="6">
        <f>Budget!B2</f>
        <v/>
      </c>
      <c r="J3" s="8" t="inlineStr">
        <is>
          <t>Month Index</t>
        </is>
      </c>
      <c r="K3" s="6">
        <f>MATCH(Settings!$B$4,Budget!$C$4:$N$4,0)</f>
        <v/>
      </c>
    </row>
    <row r="4">
      <c r="A4" s="39" t="inlineStr">
        <is>
          <t>Emergency Fund (Current)</t>
        </is>
      </c>
      <c r="B4" s="7">
        <f>Settings!B5</f>
        <v/>
      </c>
      <c r="D4" s="39" t="inlineStr">
        <is>
          <t>Cash/Savings Available</t>
        </is>
      </c>
      <c r="E4" s="7">
        <f>Settings!B6</f>
        <v/>
      </c>
    </row>
    <row r="6" ht="18" customHeight="1">
      <c r="A6" s="11" t="inlineStr">
        <is>
          <t>Income (Selected Month)</t>
        </is>
      </c>
      <c r="B6" s="6" t="n"/>
      <c r="D6" s="11" t="inlineStr">
        <is>
          <t>Savings (Selected Month)</t>
        </is>
      </c>
      <c r="E6" s="6" t="n"/>
      <c r="G6" s="11" t="inlineStr">
        <is>
          <t>Expenses (Selected Month)</t>
        </is>
      </c>
      <c r="H6" s="6" t="n"/>
      <c r="J6" s="11" t="inlineStr">
        <is>
          <t>Net Cash Flow</t>
        </is>
      </c>
      <c r="K6" s="6" t="n"/>
    </row>
    <row r="7" ht="28" customHeight="1">
      <c r="A7" s="40">
        <f>INDEX(Budget!$C$21:$N$21,$K$3)</f>
        <v/>
      </c>
      <c r="B7" s="6" t="n"/>
      <c r="D7" s="40">
        <f>INDEX(Budget!$C$39:$N$39,$K$3)</f>
        <v/>
      </c>
      <c r="E7" s="6" t="n"/>
      <c r="G7" s="40">
        <f>INDEX(Budget!$C$154:$N$154,$K$3)</f>
        <v/>
      </c>
      <c r="H7" s="6" t="n"/>
      <c r="J7" s="40">
        <f>INDEX(Budget!$C$156:$N$156,$K$3)</f>
        <v/>
      </c>
      <c r="K7" s="6" t="n"/>
    </row>
    <row r="9">
      <c r="A9" s="39" t="inlineStr">
        <is>
          <t>Savings Rate</t>
        </is>
      </c>
      <c r="B9" s="41">
        <f>IFERROR(D7/A7,0)</f>
        <v/>
      </c>
      <c r="D9" s="39" t="inlineStr">
        <is>
          <t>Debt-to-Income</t>
        </is>
      </c>
      <c r="E9" s="41">
        <f>IFERROR(Debts!$B$59/A7,0)</f>
        <v/>
      </c>
      <c r="G9" s="39" t="inlineStr">
        <is>
          <t>Emergency Fund Coverage (months)</t>
        </is>
      </c>
      <c r="H9" s="42">
        <f>IFERROR(B4/G7,0)</f>
        <v/>
      </c>
      <c r="J9" s="39" t="inlineStr">
        <is>
          <t>Runway (months)</t>
        </is>
      </c>
      <c r="K9" s="42">
        <f>IFERROR(E4/G7,0)</f>
        <v/>
      </c>
    </row>
    <row r="10">
      <c r="A10" s="39" t="inlineStr">
        <is>
          <t>Fixed Expenses (Home+Trans+Health+Debt)</t>
        </is>
      </c>
      <c r="B10" s="7">
        <f>INDEX(Budget!$C$54:$N$54,$K$3)+INDEX(Budget!$C$67:$N$67,$K$3)+INDEX(Budget!$C$79:$N$79,$K$3)+INDEX(Budget!$C$130:$N$130,$K$3)</f>
        <v/>
      </c>
      <c r="D10" s="39" t="inlineStr">
        <is>
          <t>Fixed % of Income</t>
        </is>
      </c>
      <c r="E10" s="41">
        <f>IFERROR(B10/A7,0)</f>
        <v/>
      </c>
      <c r="G10" s="39" t="inlineStr">
        <is>
          <t>Variable Expenses</t>
        </is>
      </c>
      <c r="H10" s="7">
        <f>G7-B10</f>
        <v/>
      </c>
      <c r="J10" s="39" t="inlineStr">
        <is>
          <t>Break-even (Expenses+Savings)</t>
        </is>
      </c>
      <c r="K10" s="7">
        <f>G7+D7</f>
        <v/>
      </c>
    </row>
    <row r="11">
      <c r="A11" s="39" t="inlineStr">
        <is>
          <t>Debt-Free Date</t>
        </is>
      </c>
      <c r="B11" s="5">
        <f>Debts!$B$60</f>
        <v/>
      </c>
      <c r="D11" s="39" t="inlineStr">
        <is>
          <t>Total Debt Balance</t>
        </is>
      </c>
      <c r="E11" s="7">
        <f>Debts!$B$58</f>
        <v/>
      </c>
      <c r="G11" s="39" t="inlineStr">
        <is>
          <t>Total Monthly Debt Payment</t>
        </is>
      </c>
      <c r="H11" s="7">
        <f>Debts!$B$59</f>
        <v/>
      </c>
      <c r="J11" s="39" t="inlineStr">
        <is>
          <t>Next Goal Date</t>
        </is>
      </c>
      <c r="K11" s="5">
        <f>Goals!$B$51</f>
        <v/>
      </c>
    </row>
    <row r="12">
      <c r="A12" s="39" t="inlineStr">
        <is>
          <t>Total Est. Interest (All Debts)</t>
        </is>
      </c>
      <c r="B12" s="7">
        <f>Debts!$B$61</f>
        <v/>
      </c>
      <c r="D12" s="39" t="inlineStr">
        <is>
          <t>Monthly Contributions (All Goals)</t>
        </is>
      </c>
      <c r="E12" s="7">
        <f>Goals!$B$50</f>
        <v/>
      </c>
      <c r="J12" s="39" t="inlineStr">
        <is>
          <t>Potential Extra to Save/Pay Debt</t>
        </is>
      </c>
      <c r="K12" s="7">
        <f>MAX(0,J7)</f>
        <v/>
      </c>
    </row>
    <row r="13">
      <c r="A13" s="39" t="inlineStr">
        <is>
          <t>Emergency Fund Target Amount</t>
        </is>
      </c>
      <c r="B13" s="7">
        <f>Settings!$B$7*G7</f>
        <v/>
      </c>
      <c r="D13" s="39" t="inlineStr">
        <is>
          <t>Emergency Fund Gap</t>
        </is>
      </c>
      <c r="E13" s="7">
        <f>MAX(0,B13-B4)</f>
        <v/>
      </c>
    </row>
    <row r="14">
      <c r="A14" s="43" t="inlineStr">
        <is>
          <t>Expense Breakdown (Selected Month)</t>
        </is>
      </c>
    </row>
    <row r="15">
      <c r="A15" s="44" t="inlineStr">
        <is>
          <t>Category</t>
        </is>
      </c>
      <c r="B15" s="44" t="inlineStr">
        <is>
          <t>Amount</t>
        </is>
      </c>
    </row>
    <row r="16">
      <c r="A16" s="6" t="inlineStr">
        <is>
          <t>Home</t>
        </is>
      </c>
      <c r="B16" s="7">
        <f>INDEX(Budget!$C$54:$N$54,$K$3)</f>
        <v/>
      </c>
    </row>
    <row r="17">
      <c r="A17" s="6" t="inlineStr">
        <is>
          <t>Transportation</t>
        </is>
      </c>
      <c r="B17" s="7">
        <f>INDEX(Budget!$C$67:$N$67,$K$3)</f>
        <v/>
      </c>
    </row>
    <row r="18">
      <c r="A18" s="6" t="inlineStr">
        <is>
          <t>Health</t>
        </is>
      </c>
      <c r="B18" s="7">
        <f>INDEX(Budget!$C$79:$N$79,$K$3)</f>
        <v/>
      </c>
    </row>
    <row r="19">
      <c r="A19" s="6" t="inlineStr">
        <is>
          <t>Daily Living</t>
        </is>
      </c>
      <c r="B19" s="7">
        <f>INDEX(Budget!$C$92:$N$92,$K$3)</f>
        <v/>
      </c>
    </row>
    <row r="20">
      <c r="A20" s="6" t="inlineStr">
        <is>
          <t>Entertainment</t>
        </is>
      </c>
      <c r="B20" s="7">
        <f>INDEX(Budget!$C$104:$N$104,$K$3)</f>
        <v/>
      </c>
    </row>
    <row r="21">
      <c r="A21" s="6" t="inlineStr">
        <is>
          <t>Personal &amp; Family</t>
        </is>
      </c>
      <c r="B21" s="7">
        <f>INDEX(Budget!$C$116:$N$116,$K$3)</f>
        <v/>
      </c>
    </row>
    <row r="22">
      <c r="A22" s="6" t="inlineStr">
        <is>
          <t>Giving</t>
        </is>
      </c>
      <c r="B22" s="7">
        <f>INDEX(Budget!$C$126:$N$126,$K$3)</f>
        <v/>
      </c>
    </row>
    <row r="23">
      <c r="A23" s="6" t="inlineStr">
        <is>
          <t>Debt Payments</t>
        </is>
      </c>
      <c r="B23" s="7">
        <f>INDEX(Budget!$C$130:$N$130,$K$3)</f>
        <v/>
      </c>
      <c r="D23" s="43" t="inlineStr">
        <is>
          <t>Selected Month Snapshot</t>
        </is>
      </c>
    </row>
    <row r="24">
      <c r="A24" s="6" t="inlineStr">
        <is>
          <t>Misc / Other</t>
        </is>
      </c>
      <c r="B24" s="7">
        <f>INDEX(Budget!$C$139:$N$139,$K$3)</f>
        <v/>
      </c>
      <c r="D24" s="44" t="inlineStr">
        <is>
          <t>Metric</t>
        </is>
      </c>
      <c r="E24" s="44" t="inlineStr">
        <is>
          <t>Amount</t>
        </is>
      </c>
    </row>
    <row r="25">
      <c r="A25" s="6" t="inlineStr">
        <is>
          <t>Custom Expenses (Rename items as needed)</t>
        </is>
      </c>
      <c r="B25" s="7">
        <f>INDEX(Budget!$C$152:$N$152,$K$3)</f>
        <v/>
      </c>
      <c r="D25" s="6" t="inlineStr">
        <is>
          <t>Income</t>
        </is>
      </c>
      <c r="E25" s="7">
        <f>A7</f>
        <v/>
      </c>
    </row>
    <row r="26">
      <c r="D26" s="6" t="inlineStr">
        <is>
          <t>Savings</t>
        </is>
      </c>
      <c r="E26" s="7">
        <f>D7</f>
        <v/>
      </c>
    </row>
    <row r="27">
      <c r="D27" s="6" t="inlineStr">
        <is>
          <t>Expenses</t>
        </is>
      </c>
      <c r="E27" s="7">
        <f>G7</f>
        <v/>
      </c>
    </row>
    <row r="28">
      <c r="D28" s="6" t="inlineStr">
        <is>
          <t>Net Cash Flow</t>
        </is>
      </c>
      <c r="E28" s="7">
        <f>J7</f>
        <v/>
      </c>
    </row>
  </sheetData>
  <mergeCells count="9">
    <mergeCell ref="D6:E6"/>
    <mergeCell ref="D7:E7"/>
    <mergeCell ref="A7:B7"/>
    <mergeCell ref="G7:H7"/>
    <mergeCell ref="J6:K6"/>
    <mergeCell ref="J7:K7"/>
    <mergeCell ref="G6:H6"/>
    <mergeCell ref="A1:K1"/>
    <mergeCell ref="A6:B6"/>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2025-12-14T22:01:52Z</dcterms:created>
  <dcterms:modified xmlns:dcterms="http://purl.org/dc/terms/" xmlns:xsi="http://www.w3.org/2001/XMLSchema-instance" xsi:type="dcterms:W3CDTF">2025-12-14T22:14:14Z</dcterms:modified>
</cp:coreProperties>
</file>